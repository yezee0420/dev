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포트폴리오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<sst xmlns="http://schemas.openxmlformats.org/spreadsheetml/2006/main" count="18" uniqueCount="18">
  <si>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📊 미국 주식 포트폴리오 분할매수 계산서</t>
  </si>
  <si>
    <r>
      <rPr>
        <sz val="11"/>
        <color rgb="FF94A3B8"/>
        <rFont val="Arial"/>
        <family val="0"/>
        <charset val="1"/>
      </rPr>
      <t xml:space="preserve">2026</t>
    </r>
    <r>
      <rPr>
        <sz val="11"/>
        <color rgb="FF94A3B8"/>
        <rFont val="DejaVu Sans"/>
        <family val="2"/>
      </rPr>
      <t xml:space="preserve">년 </t>
    </r>
    <r>
      <rPr>
        <sz val="11"/>
        <color rgb="FF94A3B8"/>
        <rFont val="Arial"/>
        <family val="0"/>
        <charset val="1"/>
      </rPr>
      <t xml:space="preserve">4</t>
    </r>
    <r>
      <rPr>
        <sz val="11"/>
        <color rgb="FF94A3B8"/>
        <rFont val="DejaVu Sans"/>
        <family val="2"/>
      </rPr>
      <t xml:space="preserve">월 </t>
    </r>
    <r>
      <rPr>
        <sz val="11"/>
        <color rgb="FF94A3B8"/>
        <rFont val="Arial"/>
        <family val="0"/>
        <charset val="1"/>
      </rPr>
      <t xml:space="preserve">7</t>
    </r>
    <r>
      <rPr>
        <sz val="11"/>
        <color rgb="FF94A3B8"/>
        <rFont val="DejaVu Sans"/>
        <family val="2"/>
      </rPr>
      <t xml:space="preserve">일 종가 기준  </t>
    </r>
    <r>
      <rPr>
        <sz val="11"/>
        <color rgb="FF94A3B8"/>
        <rFont val="Arial"/>
        <family val="0"/>
        <charset val="1"/>
      </rPr>
      <t xml:space="preserve">|  </t>
    </r>
    <r>
      <rPr>
        <sz val="11"/>
        <color rgb="FF94A3B8"/>
        <rFont val="DejaVu Sans"/>
        <family val="2"/>
      </rPr>
      <t xml:space="preserve">총 투자금</t>
    </r>
    <r>
      <rPr>
        <sz val="11"/>
        <color rgb="FF94A3B8"/>
        <rFont val="Arial"/>
        <family val="0"/>
        <charset val="1"/>
      </rPr>
      <t xml:space="preserve">: $5,795.00</t>
    </r>
  </si>
  <si>
    <t xml:space="preserve">No.</t>
  </si>
  <si>
    <t xml:space="preserve">종목</t>
  </si>
  <si>
    <t xml:space="preserve">현재가</t>
  </si>
  <si>
    <r>
      <rPr>
        <b val="true"/>
        <sz val="11"/>
        <color rgb="FFFFFFFF"/>
        <rFont val="Arial"/>
        <family val="0"/>
        <charset val="1"/>
      </rPr>
      <t xml:space="preserve">52</t>
    </r>
    <r>
      <rPr>
        <b val="true"/>
        <sz val="11"/>
        <color rgb="FFFFFFFF"/>
        <rFont val="DejaVu Sans"/>
        <family val="2"/>
      </rPr>
      <t xml:space="preserve">주 고점</t>
    </r>
  </si>
  <si>
    <t xml:space="preserve">고점대비</t>
  </si>
  <si>
    <t xml:space="preserve">주수</t>
  </si>
  <si>
    <t xml:space="preserve">매수금액</t>
  </si>
  <si>
    <t xml:space="preserve">실제비중</t>
  </si>
  <si>
    <t xml:space="preserve">목표비중</t>
  </si>
  <si>
    <r>
      <rPr>
        <b val="true"/>
        <sz val="11"/>
        <color rgb="FF1E293B"/>
        <rFont val="DejaVu Sans"/>
        <family val="2"/>
      </rPr>
      <t xml:space="preserve">팔란티어 </t>
    </r>
    <r>
      <rPr>
        <b val="true"/>
        <sz val="11"/>
        <color rgb="FF1E293B"/>
        <rFont val="Arial"/>
        <family val="0"/>
        <charset val="1"/>
      </rPr>
      <t xml:space="preserve">(PLTR)</t>
    </r>
  </si>
  <si>
    <r>
      <rPr>
        <b val="true"/>
        <sz val="11"/>
        <color rgb="FF1E293B"/>
        <rFont val="DejaVu Sans"/>
        <family val="2"/>
      </rPr>
      <t xml:space="preserve">테슬라 </t>
    </r>
    <r>
      <rPr>
        <b val="true"/>
        <sz val="11"/>
        <color rgb="FF1E293B"/>
        <rFont val="Arial"/>
        <family val="0"/>
        <charset val="1"/>
      </rPr>
      <t xml:space="preserve">(TSLA)</t>
    </r>
  </si>
  <si>
    <r>
      <rPr>
        <b val="true"/>
        <sz val="11"/>
        <color rgb="FF1E293B"/>
        <rFont val="DejaVu Sans"/>
        <family val="2"/>
      </rPr>
      <t xml:space="preserve">엔비디아 </t>
    </r>
    <r>
      <rPr>
        <b val="true"/>
        <sz val="11"/>
        <color rgb="FF1E293B"/>
        <rFont val="Arial"/>
        <family val="0"/>
        <charset val="1"/>
      </rPr>
      <t xml:space="preserve">(NVDA)</t>
    </r>
  </si>
  <si>
    <r>
      <rPr>
        <b val="true"/>
        <sz val="11"/>
        <color rgb="FF1E293B"/>
        <rFont val="DejaVu Sans"/>
        <family val="2"/>
      </rPr>
      <t xml:space="preserve">알파벳 </t>
    </r>
    <r>
      <rPr>
        <b val="true"/>
        <sz val="11"/>
        <color rgb="FF1E293B"/>
        <rFont val="Arial"/>
        <family val="0"/>
        <charset val="1"/>
      </rPr>
      <t xml:space="preserve">(GOOGL)</t>
    </r>
  </si>
  <si>
    <t xml:space="preserve">합계</t>
  </si>
  <si>
    <t xml:space="preserve">💰 잔액</t>
  </si>
  <si>
    <r>
      <rPr>
        <i val="true"/>
        <sz val="9"/>
        <color rgb="FF94A3B8"/>
        <rFont val="Arial"/>
        <family val="0"/>
        <charset val="1"/>
      </rPr>
      <t xml:space="preserve">※ 52</t>
    </r>
    <r>
      <rPr>
        <i val="true"/>
        <sz val="9"/>
        <color rgb="FF94A3B8"/>
        <rFont val="DejaVu Sans"/>
        <family val="2"/>
      </rPr>
      <t xml:space="preserve">주 고점 대비 하락률 기준 </t>
    </r>
    <r>
      <rPr>
        <i val="true"/>
        <sz val="9"/>
        <color rgb="FF94A3B8"/>
        <rFont val="Arial"/>
        <family val="0"/>
        <charset val="1"/>
      </rPr>
      <t xml:space="preserve">| </t>
    </r>
    <r>
      <rPr>
        <i val="true"/>
        <sz val="9"/>
        <color rgb="FF94A3B8"/>
        <rFont val="DejaVu Sans"/>
        <family val="2"/>
      </rPr>
      <t xml:space="preserve">소수점 매수</t>
    </r>
    <r>
      <rPr>
        <i val="true"/>
        <sz val="9"/>
        <color rgb="FF94A3B8"/>
        <rFont val="Arial"/>
        <family val="0"/>
        <charset val="1"/>
      </rPr>
      <t xml:space="preserve">(fractional shares) </t>
    </r>
    <r>
      <rPr>
        <i val="true"/>
        <sz val="9"/>
        <color rgb="FF94A3B8"/>
        <rFont val="DejaVu Sans"/>
        <family val="2"/>
      </rPr>
      <t xml:space="preserve">지원 증권사 이용 시 잔액 추가 투자 가능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</si>
</sst>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sz val="11"/>
      <color rgb="FF94A3B8"/>
      <name val="Arial"/>
      <family val="0"/>
      <charset val="1"/>
    </font>
    <font>
      <sz val="11"/>
      <color rgb="FF94A3B8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1E293B"/>
      <name val="Arial"/>
      <family val="0"/>
      <charset val="1"/>
    </font>
    <font>
      <b val="true"/>
      <sz val="11"/>
      <color rgb="FF1E293B"/>
      <name val="DejaVu Sans"/>
      <family val="2"/>
    </font>
    <font>
      <b val="true"/>
      <sz val="11"/>
      <color rgb="FF1E293B"/>
      <name val="Arial"/>
      <family val="0"/>
      <charset val="1"/>
    </font>
    <font>
      <sz val="11"/>
      <color rgb="FF1E293B"/>
      <name val="Arial"/>
      <family val="0"/>
      <charset val="1"/>
    </font>
    <font>
      <sz val="11"/>
      <color rgb="FF64748B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BBF24"/>
      <name val="DejaVu Sans"/>
      <family val="2"/>
    </font>
    <font>
      <b val="true"/>
      <sz val="12"/>
      <color rgb="FFFBBF24"/>
      <name val="Arial"/>
      <family val="0"/>
      <charset val="1"/>
    </font>
    <font>
      <i val="true"/>
      <sz val="9"/>
      <color rgb="FF94A3B8"/>
      <name val="Arial"/>
      <family val="0"/>
      <charset val="1"/>
    </font>
    <font>
      <i val="true"/>
      <sz val="9"/>
      <color rgb="FF94A3B8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2D4A7A"/>
        <bgColor rgb="FF1E3A5F"/>
      </patternFill>
    </fill>
    <fill>
      <patternFill patternType="solid">
        <fgColor rgb="FFFFFFFF"/>
        <bgColor rgb="FFF0F4FA"/>
      </patternFill>
    </fill>
    <fill>
      <patternFill patternType="solid">
        <fgColor rgb="FFF0F4FA"/>
        <bgColor rgb="FFFFFFFF"/>
      </patternFill>
    </fill>
    <fill>
      <patternFill patternType="solid">
        <fgColor rgb="FF1E3A5F"/>
        <bgColor rgb="FF1B2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A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BBF24"/>
      <rgbColor rgb="FFFF9900"/>
      <rgbColor rgb="FFEF4444"/>
      <rgbColor rgb="FF64748B"/>
      <rgbColor rgb="FF94A3B8"/>
      <rgbColor rgb="FF1E3A5F"/>
      <rgbColor rgb="FF10B981"/>
      <rgbColor rgb="FF003300"/>
      <rgbColor rgb="FF1B2A4A"/>
      <rgbColor rgb="FF993300"/>
      <rgbColor rgb="FF993366"/>
      <rgbColor rgb="FF2D4A7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30" hidden="false" customHeight="true" outlineLevel="0" collapsed="false">
      <c r="A5" s="5" t="n">
        <v>1</v>
      </c>
      <c r="B5" s="6" t="s">
        <v>11</v>
      </c>
      <c r="C5" s="7" t="n">
        <v>148.46</v>
      </c>
      <c r="D5" s="8" t="n">
        <v>207.52</v>
      </c>
      <c r="E5" s="9" t="n">
        <f aca="false">(C5-D5)/D5</f>
        <v>-0.284599074787972</v>
      </c>
      <c r="F5" s="10" t="n">
        <v>3</v>
      </c>
      <c r="G5" s="11" t="n">
        <f aca="false">C5*F5</f>
        <v>445.38</v>
      </c>
      <c r="H5" s="12" t="n">
        <f aca="false">G5/G9</f>
        <v>0.0779302585602027</v>
      </c>
      <c r="I5" s="13" t="n">
        <v>0.1</v>
      </c>
    </row>
    <row r="6" customFormat="false" ht="30" hidden="false" customHeight="true" outlineLevel="0" collapsed="false">
      <c r="A6" s="14" t="n">
        <v>2</v>
      </c>
      <c r="B6" s="15" t="s">
        <v>12</v>
      </c>
      <c r="C6" s="16" t="n">
        <v>351.69</v>
      </c>
      <c r="D6" s="17" t="n">
        <v>498.83</v>
      </c>
      <c r="E6" s="18" t="n">
        <f aca="false">(C6-D6)/D6</f>
        <v>-0.294970230338993</v>
      </c>
      <c r="F6" s="19" t="n">
        <v>5</v>
      </c>
      <c r="G6" s="20" t="n">
        <f aca="false">C6*F6</f>
        <v>1758.45</v>
      </c>
      <c r="H6" s="21" t="n">
        <f aca="false">G6/G9</f>
        <v>0.307684366530128</v>
      </c>
      <c r="I6" s="22" t="n">
        <v>0.3</v>
      </c>
    </row>
    <row r="7" customFormat="false" ht="30" hidden="false" customHeight="true" outlineLevel="0" collapsed="false">
      <c r="A7" s="5" t="n">
        <v>3</v>
      </c>
      <c r="B7" s="6" t="s">
        <v>13</v>
      </c>
      <c r="C7" s="7" t="n">
        <v>176.62</v>
      </c>
      <c r="D7" s="8" t="n">
        <v>212.19</v>
      </c>
      <c r="E7" s="9" t="n">
        <f aca="false">(C7-D7)/D7</f>
        <v>-0.167632781940714</v>
      </c>
      <c r="F7" s="10" t="n">
        <v>8</v>
      </c>
      <c r="G7" s="11" t="n">
        <f aca="false">C7*F7</f>
        <v>1412.96</v>
      </c>
      <c r="H7" s="12" t="n">
        <f aca="false">G7/G9</f>
        <v>0.247232336735426</v>
      </c>
      <c r="I7" s="13" t="n">
        <v>0.25</v>
      </c>
    </row>
    <row r="8" customFormat="false" ht="30" hidden="false" customHeight="true" outlineLevel="0" collapsed="false">
      <c r="A8" s="14" t="n">
        <v>4</v>
      </c>
      <c r="B8" s="15" t="s">
        <v>14</v>
      </c>
      <c r="C8" s="16" t="n">
        <v>299.76</v>
      </c>
      <c r="D8" s="17" t="n">
        <v>349</v>
      </c>
      <c r="E8" s="18" t="n">
        <f aca="false">(C8-D8)/D8</f>
        <v>-0.1410888252149</v>
      </c>
      <c r="F8" s="19" t="n">
        <v>7</v>
      </c>
      <c r="G8" s="20" t="n">
        <f aca="false">C8*F8</f>
        <v>2098.32</v>
      </c>
      <c r="H8" s="21" t="n">
        <f aca="false">G8/G9</f>
        <v>0.367153038174243</v>
      </c>
      <c r="I8" s="22" t="n">
        <v>0.35</v>
      </c>
    </row>
    <row r="9" customFormat="false" ht="33.75" hidden="false" customHeight="true" outlineLevel="0" collapsed="false">
      <c r="A9" s="23" t="s">
        <v>15</v>
      </c>
      <c r="B9" s="23"/>
      <c r="C9" s="24"/>
      <c r="D9" s="24"/>
      <c r="E9" s="24"/>
      <c r="F9" s="25" t="n">
        <f aca="false">SUM(F5:F8)</f>
        <v>23</v>
      </c>
      <c r="G9" s="26" t="n">
        <f aca="false">SUM(G5:G8)</f>
        <v>5715.11</v>
      </c>
      <c r="H9" s="27" t="n">
        <f aca="false">SUM(H5:H8)</f>
        <v>1</v>
      </c>
      <c r="I9" s="28" t="n">
        <f aca="false">SUM(I5:I8)</f>
        <v>1</v>
      </c>
    </row>
    <row r="10" customFormat="false" ht="33.75" hidden="false" customHeight="true" outlineLevel="0" collapsed="false">
      <c r="A10" s="29" t="s">
        <v>16</v>
      </c>
      <c r="B10" s="29"/>
      <c r="C10" s="30"/>
      <c r="D10" s="30"/>
      <c r="E10" s="30"/>
      <c r="F10" s="30"/>
      <c r="G10" s="31" t="n">
        <f aca="false">5795-G9</f>
        <v>79.8900000000003</v>
      </c>
      <c r="H10" s="30"/>
      <c r="I10" s="30"/>
    </row>
    <row r="12" customFormat="false" ht="11.9" hidden="false" customHeight="false" outlineLevel="0" collapsed="false">
      <c r="A12" s="32" t="s">
        <v>17</v>
      </c>
      <c r="B12" s="32"/>
      <c r="C12" s="32"/>
      <c r="D12" s="32"/>
      <c r="E12" s="32"/>
      <c r="F12" s="32"/>
      <c r="G12" s="32"/>
      <c r="H12" s="32"/>
      <c r="I12" s="32"/>
    </row>
  </sheetData>
  <mergeCells count="5">
    <mergeCell ref="A1:I1"/>
    <mergeCell ref="A2:I2"/>
    <mergeCell ref="A9:B9"/>
    <mergeCell ref="A10:B10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2026-04-07T15:52:09Z</dcterms:created>
  <dc:creator>openpyxl</dc:creator>
  <dc:description/>
  <dc:language>en-US</dc:language>
  <cp:lastModifiedBy/>
  <dcterms:modified xsi:type="dcterms:W3CDTF">2026-04-07T15:52:09Z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