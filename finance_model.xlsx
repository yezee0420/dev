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air/Documents/GitHub/dev/"/>
    </mc:Choice>
  </mc:AlternateContent>
  <xr:revisionPtr revIDLastSave="0" documentId="13_ncr:1_{062CBEFA-1DF0-BE45-8D1B-71572E48D8A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재무모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F55" i="1"/>
  <c r="E55" i="1"/>
  <c r="D55" i="1"/>
  <c r="C55" i="1"/>
  <c r="E54" i="1"/>
  <c r="F54" i="1" s="1"/>
  <c r="D54" i="1"/>
  <c r="C54" i="1"/>
  <c r="F53" i="1"/>
  <c r="E53" i="1"/>
  <c r="D53" i="1"/>
  <c r="C53" i="1"/>
  <c r="F52" i="1"/>
  <c r="E52" i="1"/>
  <c r="D52" i="1"/>
  <c r="C52" i="1"/>
  <c r="E46" i="1"/>
  <c r="D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E40" i="1"/>
  <c r="D40" i="1"/>
  <c r="E39" i="1"/>
  <c r="D39" i="1"/>
  <c r="C39" i="1"/>
  <c r="E38" i="1"/>
  <c r="D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E32" i="1"/>
  <c r="D32" i="1"/>
  <c r="E31" i="1"/>
  <c r="D31" i="1"/>
  <c r="C31" i="1"/>
  <c r="E30" i="1"/>
  <c r="D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E24" i="1"/>
  <c r="D24" i="1"/>
  <c r="E23" i="1"/>
  <c r="D23" i="1"/>
  <c r="C23" i="1"/>
  <c r="E22" i="1"/>
  <c r="D22" i="1"/>
  <c r="E21" i="1"/>
  <c r="D21" i="1"/>
  <c r="C21" i="1"/>
  <c r="E20" i="1"/>
  <c r="D20" i="1"/>
  <c r="C20" i="1"/>
  <c r="E19" i="1"/>
  <c r="D19" i="1"/>
  <c r="C19" i="1"/>
  <c r="E18" i="1"/>
  <c r="D18" i="1"/>
  <c r="C18" i="1"/>
  <c r="F17" i="1"/>
  <c r="B18" i="1" s="1"/>
  <c r="F18" i="1" s="1"/>
  <c r="E17" i="1"/>
  <c r="D17" i="1"/>
  <c r="B17" i="1"/>
  <c r="B12" i="1"/>
  <c r="C41" i="1"/>
  <c r="B19" i="1" l="1"/>
  <c r="F19" i="1" s="1"/>
  <c r="J18" i="1"/>
  <c r="I18" i="1"/>
  <c r="C22" i="1"/>
  <c r="C30" i="1"/>
  <c r="C38" i="1"/>
  <c r="C46" i="1"/>
  <c r="I17" i="1"/>
  <c r="J17" i="1"/>
  <c r="C24" i="1"/>
  <c r="C32" i="1"/>
  <c r="C40" i="1"/>
  <c r="C17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C25" i="1"/>
  <c r="C33" i="1"/>
  <c r="H17" i="1" l="1"/>
  <c r="H18" i="1"/>
  <c r="B20" i="1"/>
  <c r="F20" i="1" s="1"/>
  <c r="J19" i="1"/>
  <c r="I19" i="1"/>
  <c r="H19" i="1"/>
  <c r="J20" i="1" l="1"/>
  <c r="I20" i="1"/>
  <c r="H20" i="1"/>
  <c r="B21" i="1"/>
  <c r="F21" i="1" s="1"/>
  <c r="I21" i="1" l="1"/>
  <c r="H21" i="1"/>
  <c r="J21" i="1"/>
  <c r="B22" i="1"/>
  <c r="F22" i="1" s="1"/>
  <c r="H22" i="1" l="1"/>
  <c r="J22" i="1"/>
  <c r="I22" i="1"/>
  <c r="B23" i="1"/>
  <c r="F23" i="1" s="1"/>
  <c r="H23" i="1" l="1"/>
  <c r="B24" i="1"/>
  <c r="F24" i="1" s="1"/>
  <c r="J23" i="1"/>
  <c r="I23" i="1"/>
  <c r="B25" i="1" l="1"/>
  <c r="F25" i="1" s="1"/>
  <c r="J24" i="1"/>
  <c r="H24" i="1"/>
  <c r="I24" i="1"/>
  <c r="B26" i="1" l="1"/>
  <c r="F26" i="1" s="1"/>
  <c r="J25" i="1"/>
  <c r="I25" i="1"/>
  <c r="H25" i="1"/>
  <c r="B27" i="1" l="1"/>
  <c r="F27" i="1" s="1"/>
  <c r="J26" i="1"/>
  <c r="I26" i="1"/>
  <c r="H26" i="1"/>
  <c r="B28" i="1" l="1"/>
  <c r="F28" i="1" s="1"/>
  <c r="J27" i="1"/>
  <c r="I27" i="1"/>
  <c r="H27" i="1"/>
  <c r="J28" i="1" l="1"/>
  <c r="I28" i="1"/>
  <c r="B29" i="1"/>
  <c r="F29" i="1" s="1"/>
  <c r="H28" i="1"/>
  <c r="I29" i="1" l="1"/>
  <c r="H29" i="1"/>
  <c r="B30" i="1"/>
  <c r="F30" i="1" s="1"/>
  <c r="J29" i="1"/>
  <c r="H30" i="1" l="1"/>
  <c r="I30" i="1"/>
  <c r="B31" i="1"/>
  <c r="F31" i="1" s="1"/>
  <c r="J30" i="1"/>
  <c r="H31" i="1" l="1"/>
  <c r="B32" i="1"/>
  <c r="F32" i="1" s="1"/>
  <c r="J31" i="1"/>
  <c r="I31" i="1"/>
  <c r="B33" i="1" l="1"/>
  <c r="F33" i="1" s="1"/>
  <c r="J32" i="1"/>
  <c r="I32" i="1"/>
  <c r="H32" i="1"/>
  <c r="B34" i="1" l="1"/>
  <c r="F34" i="1" s="1"/>
  <c r="J33" i="1"/>
  <c r="I33" i="1"/>
  <c r="H33" i="1"/>
  <c r="B35" i="1" l="1"/>
  <c r="F35" i="1" s="1"/>
  <c r="J34" i="1"/>
  <c r="I34" i="1"/>
  <c r="H34" i="1"/>
  <c r="B36" i="1" l="1"/>
  <c r="F36" i="1" s="1"/>
  <c r="J35" i="1"/>
  <c r="I35" i="1"/>
  <c r="H35" i="1"/>
  <c r="J36" i="1" l="1"/>
  <c r="I36" i="1"/>
  <c r="H36" i="1"/>
  <c r="B37" i="1"/>
  <c r="F37" i="1" s="1"/>
  <c r="I37" i="1" l="1"/>
  <c r="H37" i="1"/>
  <c r="J37" i="1"/>
  <c r="B38" i="1"/>
  <c r="F38" i="1" s="1"/>
  <c r="H38" i="1" l="1"/>
  <c r="I38" i="1"/>
  <c r="B39" i="1"/>
  <c r="F39" i="1" s="1"/>
  <c r="J38" i="1"/>
  <c r="B40" i="1" l="1"/>
  <c r="F40" i="1" s="1"/>
  <c r="H39" i="1"/>
  <c r="J39" i="1"/>
  <c r="I39" i="1"/>
  <c r="B41" i="1" l="1"/>
  <c r="F41" i="1" s="1"/>
  <c r="J40" i="1"/>
  <c r="I40" i="1"/>
  <c r="H40" i="1"/>
  <c r="B42" i="1" l="1"/>
  <c r="F42" i="1" s="1"/>
  <c r="J41" i="1"/>
  <c r="I41" i="1"/>
  <c r="H41" i="1"/>
  <c r="B43" i="1" l="1"/>
  <c r="F43" i="1" s="1"/>
  <c r="J42" i="1"/>
  <c r="I42" i="1"/>
  <c r="H42" i="1"/>
  <c r="B44" i="1" l="1"/>
  <c r="F44" i="1" s="1"/>
  <c r="J43" i="1"/>
  <c r="I43" i="1"/>
  <c r="H43" i="1"/>
  <c r="J44" i="1" l="1"/>
  <c r="I44" i="1"/>
  <c r="H44" i="1"/>
  <c r="B45" i="1"/>
  <c r="F45" i="1" s="1"/>
  <c r="I45" i="1" l="1"/>
  <c r="H45" i="1"/>
  <c r="B46" i="1"/>
  <c r="F46" i="1" s="1"/>
  <c r="J45" i="1"/>
  <c r="J46" i="1" l="1"/>
  <c r="I46" i="1"/>
  <c r="H46" i="1"/>
</calcChain>
</file>

<file path=xl/sharedStrings.xml><?xml version="1.0" encoding="utf-8"?>
<sst xmlns="http://schemas.openxmlformats.org/spreadsheetml/2006/main" count="35" uniqueCount="35">
  <si>
    <t>부부 재무 모델 — 변수 한 곳에서 조절 (노란칸=입력, 파란칸=자동계산)</t>
  </si>
  <si>
    <t>■ 변수 입력 (여기만 바꾸면 전체 재계산)</t>
  </si>
  <si>
    <t>합산 월수입 (만원)</t>
  </si>
  <si>
    <t>합산 월 고정지출 (만원)</t>
  </si>
  <si>
    <t>월 생활비 (만원)</t>
  </si>
  <si>
    <t>→ 월 투자적립 (자동)</t>
  </si>
  <si>
    <t>시작 시드 (만원)</t>
  </si>
  <si>
    <t>연말 특별납입 (만원)</t>
  </si>
  <si>
    <t>연간 예비비 (만원)</t>
  </si>
  <si>
    <t>연 기대수익률 (%)</t>
  </si>
  <si>
    <t>→ FIRE 목표 = 생활비×12×25 (자동)</t>
  </si>
  <si>
    <t>■ 연도별 자산 시뮬 (월 복리 + 연말 특별/예비비 반영)</t>
  </si>
  <si>
    <t>연차</t>
  </si>
  <si>
    <t>연초 자산</t>
  </si>
  <si>
    <t>+연 적립</t>
  </si>
  <si>
    <t>+연말특별</t>
  </si>
  <si>
    <t>−예비비</t>
  </si>
  <si>
    <t>연말 자산</t>
  </si>
  <si>
    <t>누적 납입</t>
  </si>
  <si>
    <t>평가 수익</t>
  </si>
  <si>
    <t>월 패시브(4%)</t>
  </si>
  <si>
    <t>목표달성</t>
  </si>
  <si>
    <t>■ 배당 현금흐름 계산기 (목돈 투입 시)</t>
  </si>
  <si>
    <t>투자 금액 (만원)</t>
  </si>
  <si>
    <t>상품(배당률)</t>
  </si>
  <si>
    <t>배당률%</t>
  </si>
  <si>
    <t>연 배당</t>
  </si>
  <si>
    <t>월 배당</t>
  </si>
  <si>
    <t>세후 연(일반15.4%)</t>
  </si>
  <si>
    <t>세후 월</t>
  </si>
  <si>
    <t>SCHD형 미국배당다우존스</t>
  </si>
  <si>
    <t>고배당 Top30(1Q형)</t>
  </si>
  <si>
    <t>나스닥커버드콜(JEPQ형)</t>
  </si>
  <si>
    <t>S&amp;P500(저배당·참고)</t>
  </si>
  <si>
    <t>※ 연금저축/IRP·ISA = 배당 과세이연/비과세(세전 수령에 가까움) · 일반계좌 = 배당 15.4% 즉시과세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</si>
</sst>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만&quot;"/>
    <numFmt numFmtId="177" formatCode="0.0&quot;%&quot;"/>
  </numFmts>
  <fonts count="6">
    <font>
      <sz val="11"/>
      <color theme="1"/>
      <name val="맑은 고딕"/>
      <family val="2"/>
      <scheme val="minor"/>
    </font>
    <font>
      <b/>
      <sz val="13"/>
      <name val="맑은 고딕"/>
      <family val="2"/>
      <charset val="129"/>
    </font>
    <font>
      <b/>
      <sz val="11"/>
      <color rgb="FF185FA5"/>
      <name val="맑은 고딕"/>
      <family val="2"/>
      <charset val="129"/>
    </font>
    <font>
      <sz val="10"/>
      <color rgb="FF5F5E5A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AF1FB"/>
      </patternFill>
    </fill>
    <fill>
      <patternFill patternType="solid">
        <fgColor rgb="FFEEEDE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76" fontId="4" fillId="2" borderId="1" xfId="0" applyNumberFormat="1" applyFont="1" applyFill="1" applyBorder="1" applyAlignment="1">
      <alignment horizontal="right"/>
    </xf>
    <xf numFmtId="0" fontId="4" fillId="0" borderId="0" xfId="0" applyFont="1"/>
    <xf numFmtId="176" fontId="4" fillId="3" borderId="1" xfId="0" applyNumberFormat="1" applyFont="1" applyFill="1" applyBorder="1" applyAlignment="1">
      <alignment horizontal="right"/>
    </xf>
    <xf numFmtId="177" fontId="4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0" borderId="1" xfId="0" applyBorder="1"/>
    <xf numFmtId="177" fontId="0" fillId="2" borderId="1" xfId="0" applyNumberFormat="1" applyFill="1" applyBorder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pane ySplit="16" topLeftCell="A17" activePane="bottomLeft" state="frozen"/>
      <selection pane="bottomLeft" activeCell="I21" sqref="I21"/>
    </sheetView>
  </sheetViews>
  <sheetFormatPr baseColWidth="10" defaultColWidth="8.83203125" defaultRowHeight="17"/>
  <cols>
    <col min="1" max="1" width="26" customWidth="1"/>
    <col min="2" max="2" width="13" customWidth="1"/>
    <col min="3" max="4" width="11" customWidth="1"/>
    <col min="5" max="5" width="10" customWidth="1"/>
    <col min="6" max="7" width="13" customWidth="1"/>
    <col min="8" max="8" width="12" customWidth="1"/>
    <col min="9" max="9" width="13" customWidth="1"/>
    <col min="10" max="10" width="11" customWidth="1"/>
  </cols>
  <sheetData>
    <row r="1" spans="1:10" ht="1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>
      <c r="A3" s="1" t="s">
        <v>1</v>
      </c>
    </row>
    <row r="4" spans="1:10">
      <c r="A4" s="2" t="s">
        <v>2</v>
      </c>
      <c r="B4" s="3">
        <v>1682</v>
      </c>
    </row>
    <row r="5" spans="1:10">
      <c r="A5" s="2" t="s">
        <v>3</v>
      </c>
      <c r="B5" s="3">
        <v>547</v>
      </c>
    </row>
    <row r="6" spans="1:10">
      <c r="A6" s="2" t="s">
        <v>4</v>
      </c>
      <c r="B6" s="3">
        <v>450</v>
      </c>
    </row>
    <row r="7" spans="1:10">
      <c r="A7" s="4" t="s">
        <v>5</v>
      </c>
      <c r="B7" s="5">
        <f>B4-B5-B6</f>
        <v>685</v>
      </c>
    </row>
    <row r="8" spans="1:10">
      <c r="A8" s="2" t="s">
        <v>6</v>
      </c>
      <c r="B8" s="3">
        <v>3200</v>
      </c>
    </row>
    <row r="9" spans="1:10">
      <c r="A9" s="2" t="s">
        <v>7</v>
      </c>
      <c r="B9" s="3">
        <v>2000</v>
      </c>
    </row>
    <row r="10" spans="1:10">
      <c r="A10" s="2" t="s">
        <v>8</v>
      </c>
      <c r="B10" s="3">
        <v>2000</v>
      </c>
    </row>
    <row r="11" spans="1:10">
      <c r="A11" s="2" t="s">
        <v>9</v>
      </c>
      <c r="B11" s="6">
        <v>8.1999999999999993</v>
      </c>
    </row>
    <row r="12" spans="1:10">
      <c r="A12" s="4" t="s">
        <v>10</v>
      </c>
      <c r="B12" s="5">
        <f>B6*12*25</f>
        <v>135000</v>
      </c>
    </row>
    <row r="15" spans="1:10">
      <c r="A15" s="1" t="s">
        <v>11</v>
      </c>
    </row>
    <row r="16" spans="1:10">
      <c r="A16" s="7" t="s">
        <v>12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18</v>
      </c>
      <c r="H16" s="7" t="s">
        <v>19</v>
      </c>
      <c r="I16" s="7" t="s">
        <v>20</v>
      </c>
      <c r="J16" s="7" t="s">
        <v>21</v>
      </c>
    </row>
    <row r="17" spans="1:10">
      <c r="A17" s="8">
        <v>1</v>
      </c>
      <c r="B17" s="9">
        <f>$B$8</f>
        <v>3200</v>
      </c>
      <c r="C17" s="10">
        <f t="shared" ref="C17:C46" si="0">$B$7*12</f>
        <v>8220</v>
      </c>
      <c r="D17" s="10">
        <f t="shared" ref="D17:D46" si="1">$B$9</f>
        <v>2000</v>
      </c>
      <c r="E17" s="10">
        <f t="shared" ref="E17:E46" si="2">$B$10</f>
        <v>2000</v>
      </c>
      <c r="F17" s="5">
        <f t="shared" ref="F17:F46" si="3">B17*(1+$B$11/100)+$B$7*(((1+$B$11/100/12)^12-1)/($B$11/100/12))+$B$9-$B$10</f>
        <v>11998.481236769787</v>
      </c>
      <c r="G17" s="10">
        <f>$B$8+C17+D17-E17</f>
        <v>11420</v>
      </c>
      <c r="H17" s="10">
        <f t="shared" ref="H17:H46" si="4">F17-G17</f>
        <v>578.48123676978685</v>
      </c>
      <c r="I17" s="10">
        <f t="shared" ref="I17:I46" si="5">F17*0.04/12</f>
        <v>39.99493745589929</v>
      </c>
      <c r="J17" s="8" t="str">
        <f t="shared" ref="J17:J46" si="6">IF(F17&gt;=$B$12,"★ 달성","")</f>
        <v/>
      </c>
    </row>
    <row r="18" spans="1:10">
      <c r="A18" s="8">
        <v>2</v>
      </c>
      <c r="B18" s="9">
        <f t="shared" ref="B18:B46" si="7">F17</f>
        <v>11998.481236769787</v>
      </c>
      <c r="C18" s="10">
        <f t="shared" si="0"/>
        <v>8220</v>
      </c>
      <c r="D18" s="10">
        <f t="shared" si="1"/>
        <v>2000</v>
      </c>
      <c r="E18" s="10">
        <f t="shared" si="2"/>
        <v>2000</v>
      </c>
      <c r="F18" s="5">
        <f t="shared" si="3"/>
        <v>21518.437934954698</v>
      </c>
      <c r="G18" s="10">
        <f t="shared" ref="G18:G46" si="8">G17+C18+D18-E18</f>
        <v>19640</v>
      </c>
      <c r="H18" s="10">
        <f t="shared" si="4"/>
        <v>1878.437934954698</v>
      </c>
      <c r="I18" s="10">
        <f t="shared" si="5"/>
        <v>71.728126449849</v>
      </c>
      <c r="J18" s="8" t="str">
        <f t="shared" si="6"/>
        <v/>
      </c>
    </row>
    <row r="19" spans="1:10">
      <c r="A19" s="8">
        <v>3</v>
      </c>
      <c r="B19" s="9">
        <f t="shared" si="7"/>
        <v>21518.437934954698</v>
      </c>
      <c r="C19" s="10">
        <f t="shared" si="0"/>
        <v>8220</v>
      </c>
      <c r="D19" s="10">
        <f t="shared" si="1"/>
        <v>2000</v>
      </c>
      <c r="E19" s="10">
        <f t="shared" si="2"/>
        <v>2000</v>
      </c>
      <c r="F19" s="5">
        <f t="shared" si="3"/>
        <v>31819.031082390771</v>
      </c>
      <c r="G19" s="10">
        <f t="shared" si="8"/>
        <v>27860</v>
      </c>
      <c r="H19" s="10">
        <f t="shared" si="4"/>
        <v>3959.0310823907712</v>
      </c>
      <c r="I19" s="10">
        <f t="shared" si="5"/>
        <v>106.06343694130258</v>
      </c>
      <c r="J19" s="8" t="str">
        <f t="shared" si="6"/>
        <v/>
      </c>
    </row>
    <row r="20" spans="1:10">
      <c r="A20" s="8">
        <v>4</v>
      </c>
      <c r="B20" s="9">
        <f t="shared" si="7"/>
        <v>31819.031082390771</v>
      </c>
      <c r="C20" s="10">
        <f t="shared" si="0"/>
        <v>8220</v>
      </c>
      <c r="D20" s="10">
        <f t="shared" si="1"/>
        <v>2000</v>
      </c>
      <c r="E20" s="10">
        <f t="shared" si="2"/>
        <v>2000</v>
      </c>
      <c r="F20" s="5">
        <f t="shared" si="3"/>
        <v>42964.272867916603</v>
      </c>
      <c r="G20" s="10">
        <f t="shared" si="8"/>
        <v>36080</v>
      </c>
      <c r="H20" s="10">
        <f t="shared" si="4"/>
        <v>6884.272867916603</v>
      </c>
      <c r="I20" s="10">
        <f t="shared" si="5"/>
        <v>143.21424289305534</v>
      </c>
      <c r="J20" s="8" t="str">
        <f t="shared" si="6"/>
        <v/>
      </c>
    </row>
    <row r="21" spans="1:10">
      <c r="A21" s="8">
        <v>5</v>
      </c>
      <c r="B21" s="9">
        <f t="shared" si="7"/>
        <v>42964.272867916603</v>
      </c>
      <c r="C21" s="10">
        <f t="shared" si="0"/>
        <v>8220</v>
      </c>
      <c r="D21" s="10">
        <f t="shared" si="1"/>
        <v>2000</v>
      </c>
      <c r="E21" s="10">
        <f t="shared" si="2"/>
        <v>2000</v>
      </c>
      <c r="F21" s="5">
        <f t="shared" si="3"/>
        <v>55023.424479855552</v>
      </c>
      <c r="G21" s="10">
        <f t="shared" si="8"/>
        <v>44300</v>
      </c>
      <c r="H21" s="10">
        <f t="shared" si="4"/>
        <v>10723.424479855552</v>
      </c>
      <c r="I21" s="10">
        <f t="shared" si="5"/>
        <v>183.41141493285184</v>
      </c>
      <c r="J21" s="8" t="str">
        <f t="shared" si="6"/>
        <v/>
      </c>
    </row>
    <row r="22" spans="1:10">
      <c r="A22" s="8">
        <v>6</v>
      </c>
      <c r="B22" s="9">
        <f t="shared" si="7"/>
        <v>55023.424479855552</v>
      </c>
      <c r="C22" s="10">
        <f t="shared" si="0"/>
        <v>8220</v>
      </c>
      <c r="D22" s="10">
        <f t="shared" si="1"/>
        <v>2000</v>
      </c>
      <c r="E22" s="10">
        <f t="shared" si="2"/>
        <v>2000</v>
      </c>
      <c r="F22" s="5">
        <f t="shared" si="3"/>
        <v>68071.426523973496</v>
      </c>
      <c r="G22" s="10">
        <f t="shared" si="8"/>
        <v>52520</v>
      </c>
      <c r="H22" s="10">
        <f t="shared" si="4"/>
        <v>15551.426523973496</v>
      </c>
      <c r="I22" s="10">
        <f t="shared" si="5"/>
        <v>226.90475507991167</v>
      </c>
      <c r="J22" s="8" t="str">
        <f t="shared" si="6"/>
        <v/>
      </c>
    </row>
    <row r="23" spans="1:10">
      <c r="A23" s="8">
        <v>7</v>
      </c>
      <c r="B23" s="9">
        <f t="shared" si="7"/>
        <v>68071.426523973496</v>
      </c>
      <c r="C23" s="10">
        <f t="shared" si="0"/>
        <v>8220</v>
      </c>
      <c r="D23" s="10">
        <f t="shared" si="1"/>
        <v>2000</v>
      </c>
      <c r="E23" s="10">
        <f t="shared" si="2"/>
        <v>2000</v>
      </c>
      <c r="F23" s="5">
        <f t="shared" si="3"/>
        <v>82189.364735709125</v>
      </c>
      <c r="G23" s="10">
        <f t="shared" si="8"/>
        <v>60740</v>
      </c>
      <c r="H23" s="10">
        <f t="shared" si="4"/>
        <v>21449.364735709125</v>
      </c>
      <c r="I23" s="10">
        <f t="shared" si="5"/>
        <v>273.96454911903044</v>
      </c>
      <c r="J23" s="8" t="str">
        <f t="shared" si="6"/>
        <v/>
      </c>
    </row>
    <row r="24" spans="1:10">
      <c r="A24" s="8">
        <v>8</v>
      </c>
      <c r="B24" s="9">
        <f t="shared" si="7"/>
        <v>82189.364735709125</v>
      </c>
      <c r="C24" s="10">
        <f t="shared" si="0"/>
        <v>8220</v>
      </c>
      <c r="D24" s="10">
        <f t="shared" si="1"/>
        <v>2000</v>
      </c>
      <c r="E24" s="10">
        <f t="shared" si="2"/>
        <v>2000</v>
      </c>
      <c r="F24" s="5">
        <f t="shared" si="3"/>
        <v>97464.973880807054</v>
      </c>
      <c r="G24" s="10">
        <f t="shared" si="8"/>
        <v>68960</v>
      </c>
      <c r="H24" s="10">
        <f t="shared" si="4"/>
        <v>28504.973880807054</v>
      </c>
      <c r="I24" s="10">
        <f t="shared" si="5"/>
        <v>324.88324626935685</v>
      </c>
      <c r="J24" s="8" t="str">
        <f t="shared" si="6"/>
        <v/>
      </c>
    </row>
    <row r="25" spans="1:10">
      <c r="A25" s="8">
        <v>9</v>
      </c>
      <c r="B25" s="9">
        <f t="shared" si="7"/>
        <v>97464.973880807054</v>
      </c>
      <c r="C25" s="10">
        <f t="shared" si="0"/>
        <v>8220</v>
      </c>
      <c r="D25" s="10">
        <f t="shared" si="1"/>
        <v>2000</v>
      </c>
      <c r="E25" s="10">
        <f t="shared" si="2"/>
        <v>2000</v>
      </c>
      <c r="F25" s="5">
        <f t="shared" si="3"/>
        <v>113993.18297580304</v>
      </c>
      <c r="G25" s="10">
        <f t="shared" si="8"/>
        <v>77180</v>
      </c>
      <c r="H25" s="10">
        <f t="shared" si="4"/>
        <v>36813.182975803036</v>
      </c>
      <c r="I25" s="10">
        <f t="shared" si="5"/>
        <v>379.97727658601008</v>
      </c>
      <c r="J25" s="8" t="str">
        <f t="shared" si="6"/>
        <v/>
      </c>
    </row>
    <row r="26" spans="1:10">
      <c r="A26" s="8">
        <v>10</v>
      </c>
      <c r="B26" s="9">
        <f t="shared" si="7"/>
        <v>113993.18297580304</v>
      </c>
      <c r="C26" s="10">
        <f t="shared" si="0"/>
        <v>8220</v>
      </c>
      <c r="D26" s="10">
        <f t="shared" si="1"/>
        <v>2000</v>
      </c>
      <c r="E26" s="10">
        <f t="shared" si="2"/>
        <v>2000</v>
      </c>
      <c r="F26" s="5">
        <f t="shared" si="3"/>
        <v>131876.70521658869</v>
      </c>
      <c r="G26" s="10">
        <f t="shared" si="8"/>
        <v>85400</v>
      </c>
      <c r="H26" s="10">
        <f t="shared" si="4"/>
        <v>46476.705216588685</v>
      </c>
      <c r="I26" s="10">
        <f t="shared" si="5"/>
        <v>439.58901738862897</v>
      </c>
      <c r="J26" s="8" t="str">
        <f t="shared" si="6"/>
        <v/>
      </c>
    </row>
    <row r="27" spans="1:10">
      <c r="A27" s="8">
        <v>11</v>
      </c>
      <c r="B27" s="9">
        <f t="shared" si="7"/>
        <v>131876.70521658869</v>
      </c>
      <c r="C27" s="10">
        <f t="shared" si="0"/>
        <v>8220</v>
      </c>
      <c r="D27" s="10">
        <f t="shared" si="1"/>
        <v>2000</v>
      </c>
      <c r="E27" s="10">
        <f t="shared" si="2"/>
        <v>2000</v>
      </c>
      <c r="F27" s="5">
        <f t="shared" si="3"/>
        <v>151226.67628111877</v>
      </c>
      <c r="G27" s="10">
        <f t="shared" si="8"/>
        <v>93620</v>
      </c>
      <c r="H27" s="10">
        <f t="shared" si="4"/>
        <v>57606.676281118765</v>
      </c>
      <c r="I27" s="10">
        <f t="shared" si="5"/>
        <v>504.08892093706254</v>
      </c>
      <c r="J27" s="8" t="str">
        <f t="shared" si="6"/>
        <v>★ 달성</v>
      </c>
    </row>
    <row r="28" spans="1:10">
      <c r="A28" s="8">
        <v>12</v>
      </c>
      <c r="B28" s="9">
        <f t="shared" si="7"/>
        <v>151226.67628111877</v>
      </c>
      <c r="C28" s="10">
        <f t="shared" si="0"/>
        <v>8220</v>
      </c>
      <c r="D28" s="10">
        <f t="shared" si="1"/>
        <v>2000</v>
      </c>
      <c r="E28" s="10">
        <f t="shared" si="2"/>
        <v>2000</v>
      </c>
      <c r="F28" s="5">
        <f t="shared" si="3"/>
        <v>172163.34497294031</v>
      </c>
      <c r="G28" s="10">
        <f t="shared" si="8"/>
        <v>101840</v>
      </c>
      <c r="H28" s="10">
        <f t="shared" si="4"/>
        <v>70323.344972940307</v>
      </c>
      <c r="I28" s="10">
        <f t="shared" si="5"/>
        <v>573.87781657646769</v>
      </c>
      <c r="J28" s="8" t="str">
        <f t="shared" si="6"/>
        <v>★ 달성</v>
      </c>
    </row>
    <row r="29" spans="1:10">
      <c r="A29" s="8">
        <v>13</v>
      </c>
      <c r="B29" s="9">
        <f t="shared" si="7"/>
        <v>172163.34497294031</v>
      </c>
      <c r="C29" s="10">
        <f t="shared" si="0"/>
        <v>8220</v>
      </c>
      <c r="D29" s="10">
        <f t="shared" si="1"/>
        <v>2000</v>
      </c>
      <c r="E29" s="10">
        <f t="shared" si="2"/>
        <v>2000</v>
      </c>
      <c r="F29" s="5">
        <f t="shared" si="3"/>
        <v>194816.82049749122</v>
      </c>
      <c r="G29" s="10">
        <f t="shared" si="8"/>
        <v>110060</v>
      </c>
      <c r="H29" s="10">
        <f t="shared" si="4"/>
        <v>84756.820497491222</v>
      </c>
      <c r="I29" s="10">
        <f t="shared" si="5"/>
        <v>649.38940165830411</v>
      </c>
      <c r="J29" s="8" t="str">
        <f t="shared" si="6"/>
        <v>★ 달성</v>
      </c>
    </row>
    <row r="30" spans="1:10">
      <c r="A30" s="8">
        <v>14</v>
      </c>
      <c r="B30" s="9">
        <f t="shared" si="7"/>
        <v>194816.82049749122</v>
      </c>
      <c r="C30" s="10">
        <f t="shared" si="0"/>
        <v>8220</v>
      </c>
      <c r="D30" s="10">
        <f t="shared" si="1"/>
        <v>2000</v>
      </c>
      <c r="E30" s="10">
        <f t="shared" si="2"/>
        <v>2000</v>
      </c>
      <c r="F30" s="5">
        <f t="shared" si="3"/>
        <v>219327.88101505532</v>
      </c>
      <c r="G30" s="10">
        <f t="shared" si="8"/>
        <v>118280</v>
      </c>
      <c r="H30" s="10">
        <f t="shared" si="4"/>
        <v>101047.88101505532</v>
      </c>
      <c r="I30" s="10">
        <f t="shared" si="5"/>
        <v>731.09293671685111</v>
      </c>
      <c r="J30" s="8" t="str">
        <f t="shared" si="6"/>
        <v>★ 달성</v>
      </c>
    </row>
    <row r="31" spans="1:10">
      <c r="A31" s="8">
        <v>15</v>
      </c>
      <c r="B31" s="9">
        <f t="shared" si="7"/>
        <v>219327.88101505532</v>
      </c>
      <c r="C31" s="10">
        <f t="shared" si="0"/>
        <v>8220</v>
      </c>
      <c r="D31" s="10">
        <f t="shared" si="1"/>
        <v>2000</v>
      </c>
      <c r="E31" s="10">
        <f t="shared" si="2"/>
        <v>2000</v>
      </c>
      <c r="F31" s="5">
        <f t="shared" si="3"/>
        <v>245848.84849505968</v>
      </c>
      <c r="G31" s="10">
        <f t="shared" si="8"/>
        <v>126500</v>
      </c>
      <c r="H31" s="10">
        <f t="shared" si="4"/>
        <v>119348.84849505968</v>
      </c>
      <c r="I31" s="10">
        <f t="shared" si="5"/>
        <v>819.49616165019904</v>
      </c>
      <c r="J31" s="8" t="str">
        <f t="shared" si="6"/>
        <v>★ 달성</v>
      </c>
    </row>
    <row r="32" spans="1:10">
      <c r="A32" s="8">
        <v>16</v>
      </c>
      <c r="B32" s="9">
        <f t="shared" si="7"/>
        <v>245848.84849505968</v>
      </c>
      <c r="C32" s="10">
        <f t="shared" si="0"/>
        <v>8220</v>
      </c>
      <c r="D32" s="10">
        <f t="shared" si="1"/>
        <v>2000</v>
      </c>
      <c r="E32" s="10">
        <f t="shared" si="2"/>
        <v>2000</v>
      </c>
      <c r="F32" s="5">
        <f t="shared" si="3"/>
        <v>274544.53530842438</v>
      </c>
      <c r="G32" s="10">
        <f t="shared" si="8"/>
        <v>134720</v>
      </c>
      <c r="H32" s="10">
        <f t="shared" si="4"/>
        <v>139824.53530842438</v>
      </c>
      <c r="I32" s="10">
        <f t="shared" si="5"/>
        <v>915.14845102808124</v>
      </c>
      <c r="J32" s="8" t="str">
        <f t="shared" si="6"/>
        <v>★ 달성</v>
      </c>
    </row>
    <row r="33" spans="1:10">
      <c r="A33" s="8">
        <v>17</v>
      </c>
      <c r="B33" s="9">
        <f t="shared" si="7"/>
        <v>274544.53530842438</v>
      </c>
      <c r="C33" s="10">
        <f t="shared" si="0"/>
        <v>8220</v>
      </c>
      <c r="D33" s="10">
        <f t="shared" si="1"/>
        <v>2000</v>
      </c>
      <c r="E33" s="10">
        <f t="shared" si="2"/>
        <v>2000</v>
      </c>
      <c r="F33" s="5">
        <f t="shared" si="3"/>
        <v>305593.268440485</v>
      </c>
      <c r="G33" s="10">
        <f t="shared" si="8"/>
        <v>142940</v>
      </c>
      <c r="H33" s="10">
        <f t="shared" si="4"/>
        <v>162653.268440485</v>
      </c>
      <c r="I33" s="10">
        <f t="shared" si="5"/>
        <v>1018.64422813495</v>
      </c>
      <c r="J33" s="8" t="str">
        <f t="shared" si="6"/>
        <v>★ 달성</v>
      </c>
    </row>
    <row r="34" spans="1:10">
      <c r="A34" s="8">
        <v>18</v>
      </c>
      <c r="B34" s="9">
        <f t="shared" si="7"/>
        <v>305593.268440485</v>
      </c>
      <c r="C34" s="10">
        <f t="shared" si="0"/>
        <v>8220</v>
      </c>
      <c r="D34" s="10">
        <f t="shared" si="1"/>
        <v>2000</v>
      </c>
      <c r="E34" s="10">
        <f t="shared" si="2"/>
        <v>2000</v>
      </c>
      <c r="F34" s="5">
        <f t="shared" si="3"/>
        <v>339187.99768937461</v>
      </c>
      <c r="G34" s="10">
        <f t="shared" si="8"/>
        <v>151160</v>
      </c>
      <c r="H34" s="10">
        <f t="shared" si="4"/>
        <v>188027.99768937461</v>
      </c>
      <c r="I34" s="10">
        <f t="shared" si="5"/>
        <v>1130.626658964582</v>
      </c>
      <c r="J34" s="8" t="str">
        <f t="shared" si="6"/>
        <v>★ 달성</v>
      </c>
    </row>
    <row r="35" spans="1:10">
      <c r="A35" s="8">
        <v>19</v>
      </c>
      <c r="B35" s="9">
        <f t="shared" si="7"/>
        <v>339187.99768937461</v>
      </c>
      <c r="C35" s="10">
        <f t="shared" si="0"/>
        <v>8220</v>
      </c>
      <c r="D35" s="10">
        <f t="shared" si="1"/>
        <v>2000</v>
      </c>
      <c r="E35" s="10">
        <f t="shared" si="2"/>
        <v>2000</v>
      </c>
      <c r="F35" s="5">
        <f t="shared" si="3"/>
        <v>375537.49473667314</v>
      </c>
      <c r="G35" s="10">
        <f t="shared" si="8"/>
        <v>159380</v>
      </c>
      <c r="H35" s="10">
        <f t="shared" si="4"/>
        <v>216157.49473667314</v>
      </c>
      <c r="I35" s="10">
        <f t="shared" si="5"/>
        <v>1251.7916491222438</v>
      </c>
      <c r="J35" s="8" t="str">
        <f t="shared" si="6"/>
        <v>★ 달성</v>
      </c>
    </row>
    <row r="36" spans="1:10">
      <c r="A36" s="8">
        <v>20</v>
      </c>
      <c r="B36" s="9">
        <f t="shared" si="7"/>
        <v>375537.49473667314</v>
      </c>
      <c r="C36" s="10">
        <f t="shared" si="0"/>
        <v>8220</v>
      </c>
      <c r="D36" s="10">
        <f t="shared" si="1"/>
        <v>2000</v>
      </c>
      <c r="E36" s="10">
        <f t="shared" si="2"/>
        <v>2000</v>
      </c>
      <c r="F36" s="5">
        <f t="shared" si="3"/>
        <v>414867.65054185013</v>
      </c>
      <c r="G36" s="10">
        <f t="shared" si="8"/>
        <v>167600</v>
      </c>
      <c r="H36" s="10">
        <f t="shared" si="4"/>
        <v>247267.65054185013</v>
      </c>
      <c r="I36" s="10">
        <f t="shared" si="5"/>
        <v>1382.8921684728339</v>
      </c>
      <c r="J36" s="8" t="str">
        <f t="shared" si="6"/>
        <v>★ 달성</v>
      </c>
    </row>
    <row r="37" spans="1:10">
      <c r="A37" s="8">
        <v>21</v>
      </c>
      <c r="B37" s="9">
        <f t="shared" si="7"/>
        <v>414867.65054185013</v>
      </c>
      <c r="C37" s="10">
        <f t="shared" si="0"/>
        <v>8220</v>
      </c>
      <c r="D37" s="10">
        <f t="shared" si="1"/>
        <v>2000</v>
      </c>
      <c r="E37" s="10">
        <f t="shared" si="2"/>
        <v>2000</v>
      </c>
      <c r="F37" s="5">
        <f t="shared" si="3"/>
        <v>457422.87912305165</v>
      </c>
      <c r="G37" s="10">
        <f t="shared" si="8"/>
        <v>175820</v>
      </c>
      <c r="H37" s="10">
        <f t="shared" si="4"/>
        <v>281602.87912305165</v>
      </c>
      <c r="I37" s="10">
        <f t="shared" si="5"/>
        <v>1524.7429304101722</v>
      </c>
      <c r="J37" s="8" t="str">
        <f t="shared" si="6"/>
        <v>★ 달성</v>
      </c>
    </row>
    <row r="38" spans="1:10">
      <c r="A38" s="8">
        <v>22</v>
      </c>
      <c r="B38" s="9">
        <f t="shared" si="7"/>
        <v>457422.87912305165</v>
      </c>
      <c r="C38" s="10">
        <f t="shared" si="0"/>
        <v>8220</v>
      </c>
      <c r="D38" s="10">
        <f t="shared" si="1"/>
        <v>2000</v>
      </c>
      <c r="E38" s="10">
        <f t="shared" si="2"/>
        <v>2000</v>
      </c>
      <c r="F38" s="5">
        <f t="shared" si="3"/>
        <v>503467.63644791173</v>
      </c>
      <c r="G38" s="10">
        <f t="shared" si="8"/>
        <v>184040</v>
      </c>
      <c r="H38" s="10">
        <f t="shared" si="4"/>
        <v>319427.63644791173</v>
      </c>
      <c r="I38" s="10">
        <f t="shared" si="5"/>
        <v>1678.2254548263725</v>
      </c>
      <c r="J38" s="8" t="str">
        <f t="shared" si="6"/>
        <v>★ 달성</v>
      </c>
    </row>
    <row r="39" spans="1:10">
      <c r="A39" s="8">
        <v>23</v>
      </c>
      <c r="B39" s="9">
        <f t="shared" si="7"/>
        <v>503467.63644791173</v>
      </c>
      <c r="C39" s="10">
        <f t="shared" si="0"/>
        <v>8220</v>
      </c>
      <c r="D39" s="10">
        <f t="shared" si="1"/>
        <v>2000</v>
      </c>
      <c r="E39" s="10">
        <f t="shared" si="2"/>
        <v>2000</v>
      </c>
      <c r="F39" s="5">
        <f t="shared" si="3"/>
        <v>553288.06387341034</v>
      </c>
      <c r="G39" s="10">
        <f t="shared" si="8"/>
        <v>192260</v>
      </c>
      <c r="H39" s="10">
        <f t="shared" si="4"/>
        <v>361028.06387341034</v>
      </c>
      <c r="I39" s="10">
        <f t="shared" si="5"/>
        <v>1844.2935462447012</v>
      </c>
      <c r="J39" s="8" t="str">
        <f t="shared" si="6"/>
        <v>★ 달성</v>
      </c>
    </row>
    <row r="40" spans="1:10">
      <c r="A40" s="8">
        <v>24</v>
      </c>
      <c r="B40" s="9">
        <f t="shared" si="7"/>
        <v>553288.06387341034</v>
      </c>
      <c r="C40" s="10">
        <f t="shared" si="0"/>
        <v>8220</v>
      </c>
      <c r="D40" s="10">
        <f t="shared" si="1"/>
        <v>2000</v>
      </c>
      <c r="E40" s="10">
        <f t="shared" si="2"/>
        <v>2000</v>
      </c>
      <c r="F40" s="5">
        <f t="shared" si="3"/>
        <v>607193.7663477998</v>
      </c>
      <c r="G40" s="10">
        <f t="shared" si="8"/>
        <v>200480</v>
      </c>
      <c r="H40" s="10">
        <f t="shared" si="4"/>
        <v>406713.7663477998</v>
      </c>
      <c r="I40" s="10">
        <f t="shared" si="5"/>
        <v>2023.9792211593328</v>
      </c>
      <c r="J40" s="8" t="str">
        <f t="shared" si="6"/>
        <v>★ 달성</v>
      </c>
    </row>
    <row r="41" spans="1:10">
      <c r="A41" s="8">
        <v>25</v>
      </c>
      <c r="B41" s="9">
        <f t="shared" si="7"/>
        <v>607193.7663477998</v>
      </c>
      <c r="C41" s="10">
        <f t="shared" si="0"/>
        <v>8220</v>
      </c>
      <c r="D41" s="10">
        <f t="shared" si="1"/>
        <v>2000</v>
      </c>
      <c r="E41" s="10">
        <f t="shared" si="2"/>
        <v>2000</v>
      </c>
      <c r="F41" s="5">
        <f t="shared" si="3"/>
        <v>665519.73642508918</v>
      </c>
      <c r="G41" s="10">
        <f t="shared" si="8"/>
        <v>208700</v>
      </c>
      <c r="H41" s="10">
        <f t="shared" si="4"/>
        <v>456819.73642508918</v>
      </c>
      <c r="I41" s="10">
        <f t="shared" si="5"/>
        <v>2218.3991214169641</v>
      </c>
      <c r="J41" s="8" t="str">
        <f t="shared" si="6"/>
        <v>★ 달성</v>
      </c>
    </row>
    <row r="42" spans="1:10">
      <c r="A42" s="8">
        <v>26</v>
      </c>
      <c r="B42" s="9">
        <f t="shared" si="7"/>
        <v>665519.73642508918</v>
      </c>
      <c r="C42" s="10">
        <f t="shared" si="0"/>
        <v>8220</v>
      </c>
      <c r="D42" s="10">
        <f t="shared" si="1"/>
        <v>2000</v>
      </c>
      <c r="E42" s="10">
        <f t="shared" si="2"/>
        <v>2000</v>
      </c>
      <c r="F42" s="5">
        <f t="shared" si="3"/>
        <v>728628.43604871631</v>
      </c>
      <c r="G42" s="10">
        <f t="shared" si="8"/>
        <v>216920</v>
      </c>
      <c r="H42" s="10">
        <f t="shared" si="4"/>
        <v>511708.43604871631</v>
      </c>
      <c r="I42" s="10">
        <f t="shared" si="5"/>
        <v>2428.7614534957211</v>
      </c>
      <c r="J42" s="8" t="str">
        <f t="shared" si="6"/>
        <v>★ 달성</v>
      </c>
    </row>
    <row r="43" spans="1:10">
      <c r="A43" s="8">
        <v>27</v>
      </c>
      <c r="B43" s="9">
        <f t="shared" si="7"/>
        <v>728628.43604871631</v>
      </c>
      <c r="C43" s="10">
        <f t="shared" si="0"/>
        <v>8220</v>
      </c>
      <c r="D43" s="10">
        <f t="shared" si="1"/>
        <v>2000</v>
      </c>
      <c r="E43" s="10">
        <f t="shared" si="2"/>
        <v>2000</v>
      </c>
      <c r="F43" s="5">
        <f t="shared" si="3"/>
        <v>796912.04904148087</v>
      </c>
      <c r="G43" s="10">
        <f t="shared" si="8"/>
        <v>225140</v>
      </c>
      <c r="H43" s="10">
        <f t="shared" si="4"/>
        <v>571772.04904148087</v>
      </c>
      <c r="I43" s="10">
        <f t="shared" si="5"/>
        <v>2656.3734968049362</v>
      </c>
      <c r="J43" s="8" t="str">
        <f t="shared" si="6"/>
        <v>★ 달성</v>
      </c>
    </row>
    <row r="44" spans="1:10">
      <c r="A44" s="8">
        <v>28</v>
      </c>
      <c r="B44" s="9">
        <f t="shared" si="7"/>
        <v>796912.04904148087</v>
      </c>
      <c r="C44" s="10">
        <f t="shared" si="0"/>
        <v>8220</v>
      </c>
      <c r="D44" s="10">
        <f t="shared" si="1"/>
        <v>2000</v>
      </c>
      <c r="E44" s="10">
        <f t="shared" si="2"/>
        <v>2000</v>
      </c>
      <c r="F44" s="5">
        <f t="shared" si="3"/>
        <v>870794.91829965217</v>
      </c>
      <c r="G44" s="10">
        <f t="shared" si="8"/>
        <v>233360</v>
      </c>
      <c r="H44" s="10">
        <f t="shared" si="4"/>
        <v>637434.91829965217</v>
      </c>
      <c r="I44" s="10">
        <f t="shared" si="5"/>
        <v>2902.6497276655077</v>
      </c>
      <c r="J44" s="8" t="str">
        <f t="shared" si="6"/>
        <v>★ 달성</v>
      </c>
    </row>
    <row r="45" spans="1:10">
      <c r="A45" s="8">
        <v>29</v>
      </c>
      <c r="B45" s="9">
        <f t="shared" si="7"/>
        <v>870794.91829965217</v>
      </c>
      <c r="C45" s="10">
        <f t="shared" si="0"/>
        <v>8220</v>
      </c>
      <c r="D45" s="10">
        <f t="shared" si="1"/>
        <v>2000</v>
      </c>
      <c r="E45" s="10">
        <f t="shared" si="2"/>
        <v>2000</v>
      </c>
      <c r="F45" s="5">
        <f t="shared" si="3"/>
        <v>950736.18283699348</v>
      </c>
      <c r="G45" s="10">
        <f t="shared" si="8"/>
        <v>241580</v>
      </c>
      <c r="H45" s="10">
        <f t="shared" si="4"/>
        <v>709156.18283699348</v>
      </c>
      <c r="I45" s="10">
        <f t="shared" si="5"/>
        <v>3169.1206094566446</v>
      </c>
      <c r="J45" s="8" t="str">
        <f t="shared" si="6"/>
        <v>★ 달성</v>
      </c>
    </row>
    <row r="46" spans="1:10">
      <c r="A46" s="8">
        <v>30</v>
      </c>
      <c r="B46" s="9">
        <f t="shared" si="7"/>
        <v>950736.18283699348</v>
      </c>
      <c r="C46" s="10">
        <f t="shared" si="0"/>
        <v>8220</v>
      </c>
      <c r="D46" s="10">
        <f t="shared" si="1"/>
        <v>2000</v>
      </c>
      <c r="E46" s="10">
        <f t="shared" si="2"/>
        <v>2000</v>
      </c>
      <c r="F46" s="5">
        <f t="shared" si="3"/>
        <v>1037232.6310663968</v>
      </c>
      <c r="G46" s="10">
        <f t="shared" si="8"/>
        <v>249800</v>
      </c>
      <c r="H46" s="10">
        <f t="shared" si="4"/>
        <v>787432.63106639683</v>
      </c>
      <c r="I46" s="10">
        <f t="shared" si="5"/>
        <v>3457.4421035546561</v>
      </c>
      <c r="J46" s="8" t="str">
        <f t="shared" si="6"/>
        <v>★ 달성</v>
      </c>
    </row>
    <row r="48" spans="1:10">
      <c r="A48" s="1" t="s">
        <v>22</v>
      </c>
    </row>
    <row r="49" spans="1:6">
      <c r="A49" s="2" t="s">
        <v>23</v>
      </c>
      <c r="B49" s="3">
        <v>10000</v>
      </c>
    </row>
    <row r="51" spans="1:6">
      <c r="A51" s="7" t="s">
        <v>24</v>
      </c>
      <c r="B51" s="7" t="s">
        <v>25</v>
      </c>
      <c r="C51" s="7" t="s">
        <v>26</v>
      </c>
      <c r="D51" s="7" t="s">
        <v>27</v>
      </c>
      <c r="E51" s="7" t="s">
        <v>28</v>
      </c>
      <c r="F51" s="7" t="s">
        <v>29</v>
      </c>
    </row>
    <row r="52" spans="1:6">
      <c r="A52" s="11" t="s">
        <v>30</v>
      </c>
      <c r="B52" s="12">
        <v>3.5</v>
      </c>
      <c r="C52" s="10">
        <f>$B$49*B52/100</f>
        <v>350</v>
      </c>
      <c r="D52" s="10">
        <f>C52/12</f>
        <v>29.166666666666668</v>
      </c>
      <c r="E52" s="10">
        <f>C52*(1-0.154)</f>
        <v>296.09999999999997</v>
      </c>
      <c r="F52" s="10">
        <f>E52/12</f>
        <v>24.674999999999997</v>
      </c>
    </row>
    <row r="53" spans="1:6">
      <c r="A53" s="11" t="s">
        <v>31</v>
      </c>
      <c r="B53" s="12">
        <v>4.5</v>
      </c>
      <c r="C53" s="10">
        <f>$B$49*B53/100</f>
        <v>450</v>
      </c>
      <c r="D53" s="10">
        <f>C53/12</f>
        <v>37.5</v>
      </c>
      <c r="E53" s="10">
        <f>C53*(1-0.154)</f>
        <v>380.7</v>
      </c>
      <c r="F53" s="10">
        <f>E53/12</f>
        <v>31.724999999999998</v>
      </c>
    </row>
    <row r="54" spans="1:6">
      <c r="A54" s="11" t="s">
        <v>32</v>
      </c>
      <c r="B54" s="12">
        <v>10</v>
      </c>
      <c r="C54" s="10">
        <f>$B$49*B54/100</f>
        <v>1000</v>
      </c>
      <c r="D54" s="10">
        <f>C54/12</f>
        <v>83.333333333333329</v>
      </c>
      <c r="E54" s="10">
        <f>C54*(1-0.154)</f>
        <v>846</v>
      </c>
      <c r="F54" s="10">
        <f>E54/12</f>
        <v>70.5</v>
      </c>
    </row>
    <row r="55" spans="1:6">
      <c r="A55" s="11" t="s">
        <v>33</v>
      </c>
      <c r="B55" s="12">
        <v>1.3</v>
      </c>
      <c r="C55" s="10">
        <f>$B$49*B55/100</f>
        <v>130</v>
      </c>
      <c r="D55" s="10">
        <f>C55/12</f>
        <v>10.833333333333334</v>
      </c>
      <c r="E55" s="10">
        <f>C55*(1-0.154)</f>
        <v>109.97999999999999</v>
      </c>
      <c r="F55" s="10">
        <f>E55/12</f>
        <v>9.1649999999999991</v>
      </c>
    </row>
    <row r="57" spans="1:6">
      <c r="A57" s="2" t="s">
        <v>34</v>
      </c>
    </row>
  </sheetData>
  <mergeCells count="1">
    <mergeCell ref="A1:J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재무모델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 Air</cp:lastModifiedBy>
  <dcterms:created xsi:type="dcterms:W3CDTF">2026-06-01T12:18:17Z</dcterms:created>
  <dcterms:modified xsi:type="dcterms:W3CDTF">2026-06-08T09:39:47Z</dcterms:modified>
</cp:coreProperties>
</file>