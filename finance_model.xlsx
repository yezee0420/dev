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재무모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만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185FA5"/>
      <sz val="11"/>
    </font>
    <font>
      <color rgb="005F5E5A"/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EAF1FB"/>
      </patternFill>
    </fill>
    <fill>
      <patternFill patternType="solid">
        <fgColor rgb="00EEEDE8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2" borderId="1" applyAlignment="1" pivotButton="0" quotePrefix="0" xfId="0">
      <alignment horizontal="right"/>
    </xf>
    <xf numFmtId="0" fontId="4" fillId="0" borderId="0" pivotButton="0" quotePrefix="0" xfId="0"/>
    <xf numFmtId="164" fontId="4" fillId="3" borderId="1" applyAlignment="1" pivotButton="0" quotePrefix="0" xfId="0">
      <alignment horizontal="right"/>
    </xf>
    <xf numFmtId="165" fontId="4" fillId="2" borderId="1" applyAlignment="1" pivotButton="0" quotePrefix="0" xfId="0">
      <alignment horizontal="right"/>
    </xf>
    <xf numFmtId="0" fontId="4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0" fillId="0" borderId="1" pivotButton="0" quotePrefix="0" xfId="0"/>
    <xf numFmtId="165" fontId="0" fillId="2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11" customWidth="1" min="4" max="4"/>
    <col width="10" customWidth="1" min="5" max="5"/>
    <col width="13" customWidth="1" min="6" max="6"/>
    <col width="13" customWidth="1" min="7" max="7"/>
    <col width="12" customWidth="1" min="8" max="8"/>
    <col width="13" customWidth="1" min="9" max="9"/>
    <col width="11" customWidth="1" min="10" max="10"/>
  </cols>
  <sheetData>
    <row r="1">
      <c r="A1" s="1" t="inlineStr">
        <is>
          <t>부부 재무 모델 — 변수 한 곳에서 조절 (노란칸=입력, 파란칸=자동계산)</t>
        </is>
      </c>
    </row>
    <row r="3">
      <c r="A3" s="2" t="inlineStr">
        <is>
          <t>■ 변수 입력 (여기만 바꾸면 전체 재계산)</t>
        </is>
      </c>
    </row>
    <row r="4">
      <c r="A4" s="3" t="inlineStr">
        <is>
          <t>합산 월수입 (만원)</t>
        </is>
      </c>
      <c r="B4" s="4" t="n">
        <v>1682</v>
      </c>
    </row>
    <row r="5">
      <c r="A5" s="3" t="inlineStr">
        <is>
          <t>합산 월 고정지출 (만원)</t>
        </is>
      </c>
      <c r="B5" s="4" t="n">
        <v>547</v>
      </c>
    </row>
    <row r="6">
      <c r="A6" s="3" t="inlineStr">
        <is>
          <t>월 생활비 (만원)</t>
        </is>
      </c>
      <c r="B6" s="4" t="n">
        <v>450</v>
      </c>
    </row>
    <row r="7">
      <c r="A7" s="5" t="inlineStr">
        <is>
          <t>→ 월 투자적립 (자동)</t>
        </is>
      </c>
      <c r="B7" s="6">
        <f>B4-B5-B6</f>
        <v/>
      </c>
    </row>
    <row r="8">
      <c r="A8" s="3" t="inlineStr">
        <is>
          <t>시작 시드 (만원)</t>
        </is>
      </c>
      <c r="B8" s="4" t="n">
        <v>3200</v>
      </c>
    </row>
    <row r="9">
      <c r="A9" s="3" t="inlineStr">
        <is>
          <t>연말 특별납입 (만원)</t>
        </is>
      </c>
      <c r="B9" s="4" t="n">
        <v>2000</v>
      </c>
    </row>
    <row r="10">
      <c r="A10" s="3" t="inlineStr">
        <is>
          <t>연간 예비비 (만원)</t>
        </is>
      </c>
      <c r="B10" s="4" t="n">
        <v>0</v>
      </c>
    </row>
    <row r="11">
      <c r="A11" s="3" t="inlineStr">
        <is>
          <t>연 기대수익률 (%)</t>
        </is>
      </c>
      <c r="B11" s="7" t="n">
        <v>8.199999999999999</v>
      </c>
    </row>
    <row r="12">
      <c r="A12" s="5" t="inlineStr">
        <is>
          <t>→ FIRE 목표 = 생활비×12×25 (자동)</t>
        </is>
      </c>
      <c r="B12" s="6">
        <f>B6*12*25</f>
        <v/>
      </c>
    </row>
    <row r="15">
      <c r="A15" s="2" t="inlineStr">
        <is>
          <t>■ 연도별 자산 시뮬 (월 복리 + 연말 특별/예비비 반영)</t>
        </is>
      </c>
    </row>
    <row r="16">
      <c r="A16" s="8" t="inlineStr">
        <is>
          <t>연차</t>
        </is>
      </c>
      <c r="B16" s="8" t="inlineStr">
        <is>
          <t>연초 자산</t>
        </is>
      </c>
      <c r="C16" s="8" t="inlineStr">
        <is>
          <t>+연 적립</t>
        </is>
      </c>
      <c r="D16" s="8" t="inlineStr">
        <is>
          <t>+연말특별</t>
        </is>
      </c>
      <c r="E16" s="8" t="inlineStr">
        <is>
          <t>−예비비</t>
        </is>
      </c>
      <c r="F16" s="8" t="inlineStr">
        <is>
          <t>연말 자산</t>
        </is>
      </c>
      <c r="G16" s="8" t="inlineStr">
        <is>
          <t>누적 납입</t>
        </is>
      </c>
      <c r="H16" s="8" t="inlineStr">
        <is>
          <t>평가 수익</t>
        </is>
      </c>
      <c r="I16" s="8" t="inlineStr">
        <is>
          <t>월 패시브(4%)</t>
        </is>
      </c>
      <c r="J16" s="8" t="inlineStr">
        <is>
          <t>목표달성</t>
        </is>
      </c>
    </row>
    <row r="17">
      <c r="A17" s="9" t="n">
        <v>1</v>
      </c>
      <c r="B17" s="10">
        <f>$B$8</f>
        <v/>
      </c>
      <c r="C17" s="11">
        <f>$B$7*12</f>
        <v/>
      </c>
      <c r="D17" s="11">
        <f>$B$9</f>
        <v/>
      </c>
      <c r="E17" s="11">
        <f>$B$10</f>
        <v/>
      </c>
      <c r="F17" s="6">
        <f>B17*(1+$B$11/100)+$B$7*(((1+$B$11/100/12)^12-1)/($B$11/100/12))+$B$9-$B$10</f>
        <v/>
      </c>
      <c r="G17" s="11">
        <f>$B$8+C17+D17-E17</f>
        <v/>
      </c>
      <c r="H17" s="11">
        <f>F17-G17</f>
        <v/>
      </c>
      <c r="I17" s="11">
        <f>F17*0.04/12</f>
        <v/>
      </c>
      <c r="J17" s="9">
        <f>IF(F17&gt;=$B$12,"★ 달성","")</f>
        <v/>
      </c>
    </row>
    <row r="18">
      <c r="A18" s="9" t="n">
        <v>2</v>
      </c>
      <c r="B18" s="10">
        <f>F17</f>
        <v/>
      </c>
      <c r="C18" s="11">
        <f>$B$7*12</f>
        <v/>
      </c>
      <c r="D18" s="11">
        <f>$B$9</f>
        <v/>
      </c>
      <c r="E18" s="11">
        <f>$B$10</f>
        <v/>
      </c>
      <c r="F18" s="6">
        <f>B18*(1+$B$11/100)+$B$7*(((1+$B$11/100/12)^12-1)/($B$11/100/12))+$B$9-$B$10</f>
        <v/>
      </c>
      <c r="G18" s="11">
        <f>G17+C18+D18-E18</f>
        <v/>
      </c>
      <c r="H18" s="11">
        <f>F18-G18</f>
        <v/>
      </c>
      <c r="I18" s="11">
        <f>F18*0.04/12</f>
        <v/>
      </c>
      <c r="J18" s="9">
        <f>IF(F18&gt;=$B$12,"★ 달성","")</f>
        <v/>
      </c>
    </row>
    <row r="19">
      <c r="A19" s="9" t="n">
        <v>3</v>
      </c>
      <c r="B19" s="10">
        <f>F18</f>
        <v/>
      </c>
      <c r="C19" s="11">
        <f>$B$7*12</f>
        <v/>
      </c>
      <c r="D19" s="11">
        <f>$B$9</f>
        <v/>
      </c>
      <c r="E19" s="11">
        <f>$B$10</f>
        <v/>
      </c>
      <c r="F19" s="6">
        <f>B19*(1+$B$11/100)+$B$7*(((1+$B$11/100/12)^12-1)/($B$11/100/12))+$B$9-$B$10</f>
        <v/>
      </c>
      <c r="G19" s="11">
        <f>G18+C19+D19-E19</f>
        <v/>
      </c>
      <c r="H19" s="11">
        <f>F19-G19</f>
        <v/>
      </c>
      <c r="I19" s="11">
        <f>F19*0.04/12</f>
        <v/>
      </c>
      <c r="J19" s="9">
        <f>IF(F19&gt;=$B$12,"★ 달성","")</f>
        <v/>
      </c>
    </row>
    <row r="20">
      <c r="A20" s="9" t="n">
        <v>4</v>
      </c>
      <c r="B20" s="10">
        <f>F19</f>
        <v/>
      </c>
      <c r="C20" s="11">
        <f>$B$7*12</f>
        <v/>
      </c>
      <c r="D20" s="11">
        <f>$B$9</f>
        <v/>
      </c>
      <c r="E20" s="11">
        <f>$B$10</f>
        <v/>
      </c>
      <c r="F20" s="6">
        <f>B20*(1+$B$11/100)+$B$7*(((1+$B$11/100/12)^12-1)/($B$11/100/12))+$B$9-$B$10</f>
        <v/>
      </c>
      <c r="G20" s="11">
        <f>G19+C20+D20-E20</f>
        <v/>
      </c>
      <c r="H20" s="11">
        <f>F20-G20</f>
        <v/>
      </c>
      <c r="I20" s="11">
        <f>F20*0.04/12</f>
        <v/>
      </c>
      <c r="J20" s="9">
        <f>IF(F20&gt;=$B$12,"★ 달성","")</f>
        <v/>
      </c>
    </row>
    <row r="21">
      <c r="A21" s="9" t="n">
        <v>5</v>
      </c>
      <c r="B21" s="10">
        <f>F20</f>
        <v/>
      </c>
      <c r="C21" s="11">
        <f>$B$7*12</f>
        <v/>
      </c>
      <c r="D21" s="11">
        <f>$B$9</f>
        <v/>
      </c>
      <c r="E21" s="11">
        <f>$B$10</f>
        <v/>
      </c>
      <c r="F21" s="6">
        <f>B21*(1+$B$11/100)+$B$7*(((1+$B$11/100/12)^12-1)/($B$11/100/12))+$B$9-$B$10</f>
        <v/>
      </c>
      <c r="G21" s="11">
        <f>G20+C21+D21-E21</f>
        <v/>
      </c>
      <c r="H21" s="11">
        <f>F21-G21</f>
        <v/>
      </c>
      <c r="I21" s="11">
        <f>F21*0.04/12</f>
        <v/>
      </c>
      <c r="J21" s="9">
        <f>IF(F21&gt;=$B$12,"★ 달성","")</f>
        <v/>
      </c>
    </row>
    <row r="22">
      <c r="A22" s="9" t="n">
        <v>6</v>
      </c>
      <c r="B22" s="10">
        <f>F21</f>
        <v/>
      </c>
      <c r="C22" s="11">
        <f>$B$7*12</f>
        <v/>
      </c>
      <c r="D22" s="11">
        <f>$B$9</f>
        <v/>
      </c>
      <c r="E22" s="11">
        <f>$B$10</f>
        <v/>
      </c>
      <c r="F22" s="6">
        <f>B22*(1+$B$11/100)+$B$7*(((1+$B$11/100/12)^12-1)/($B$11/100/12))+$B$9-$B$10</f>
        <v/>
      </c>
      <c r="G22" s="11">
        <f>G21+C22+D22-E22</f>
        <v/>
      </c>
      <c r="H22" s="11">
        <f>F22-G22</f>
        <v/>
      </c>
      <c r="I22" s="11">
        <f>F22*0.04/12</f>
        <v/>
      </c>
      <c r="J22" s="9">
        <f>IF(F22&gt;=$B$12,"★ 달성","")</f>
        <v/>
      </c>
    </row>
    <row r="23">
      <c r="A23" s="9" t="n">
        <v>7</v>
      </c>
      <c r="B23" s="10">
        <f>F22</f>
        <v/>
      </c>
      <c r="C23" s="11">
        <f>$B$7*12</f>
        <v/>
      </c>
      <c r="D23" s="11">
        <f>$B$9</f>
        <v/>
      </c>
      <c r="E23" s="11">
        <f>$B$10</f>
        <v/>
      </c>
      <c r="F23" s="6">
        <f>B23*(1+$B$11/100)+$B$7*(((1+$B$11/100/12)^12-1)/($B$11/100/12))+$B$9-$B$10</f>
        <v/>
      </c>
      <c r="G23" s="11">
        <f>G22+C23+D23-E23</f>
        <v/>
      </c>
      <c r="H23" s="11">
        <f>F23-G23</f>
        <v/>
      </c>
      <c r="I23" s="11">
        <f>F23*0.04/12</f>
        <v/>
      </c>
      <c r="J23" s="9">
        <f>IF(F23&gt;=$B$12,"★ 달성","")</f>
        <v/>
      </c>
    </row>
    <row r="24">
      <c r="A24" s="9" t="n">
        <v>8</v>
      </c>
      <c r="B24" s="10">
        <f>F23</f>
        <v/>
      </c>
      <c r="C24" s="11">
        <f>$B$7*12</f>
        <v/>
      </c>
      <c r="D24" s="11">
        <f>$B$9</f>
        <v/>
      </c>
      <c r="E24" s="11">
        <f>$B$10</f>
        <v/>
      </c>
      <c r="F24" s="6">
        <f>B24*(1+$B$11/100)+$B$7*(((1+$B$11/100/12)^12-1)/($B$11/100/12))+$B$9-$B$10</f>
        <v/>
      </c>
      <c r="G24" s="11">
        <f>G23+C24+D24-E24</f>
        <v/>
      </c>
      <c r="H24" s="11">
        <f>F24-G24</f>
        <v/>
      </c>
      <c r="I24" s="11">
        <f>F24*0.04/12</f>
        <v/>
      </c>
      <c r="J24" s="9">
        <f>IF(F24&gt;=$B$12,"★ 달성","")</f>
        <v/>
      </c>
    </row>
    <row r="25">
      <c r="A25" s="9" t="n">
        <v>9</v>
      </c>
      <c r="B25" s="10">
        <f>F24</f>
        <v/>
      </c>
      <c r="C25" s="11">
        <f>$B$7*12</f>
        <v/>
      </c>
      <c r="D25" s="11">
        <f>$B$9</f>
        <v/>
      </c>
      <c r="E25" s="11">
        <f>$B$10</f>
        <v/>
      </c>
      <c r="F25" s="6">
        <f>B25*(1+$B$11/100)+$B$7*(((1+$B$11/100/12)^12-1)/($B$11/100/12))+$B$9-$B$10</f>
        <v/>
      </c>
      <c r="G25" s="11">
        <f>G24+C25+D25-E25</f>
        <v/>
      </c>
      <c r="H25" s="11">
        <f>F25-G25</f>
        <v/>
      </c>
      <c r="I25" s="11">
        <f>F25*0.04/12</f>
        <v/>
      </c>
      <c r="J25" s="9">
        <f>IF(F25&gt;=$B$12,"★ 달성","")</f>
        <v/>
      </c>
    </row>
    <row r="26">
      <c r="A26" s="9" t="n">
        <v>10</v>
      </c>
      <c r="B26" s="10">
        <f>F25</f>
        <v/>
      </c>
      <c r="C26" s="11">
        <f>$B$7*12</f>
        <v/>
      </c>
      <c r="D26" s="11">
        <f>$B$9</f>
        <v/>
      </c>
      <c r="E26" s="11">
        <f>$B$10</f>
        <v/>
      </c>
      <c r="F26" s="6">
        <f>B26*(1+$B$11/100)+$B$7*(((1+$B$11/100/12)^12-1)/($B$11/100/12))+$B$9-$B$10</f>
        <v/>
      </c>
      <c r="G26" s="11">
        <f>G25+C26+D26-E26</f>
        <v/>
      </c>
      <c r="H26" s="11">
        <f>F26-G26</f>
        <v/>
      </c>
      <c r="I26" s="11">
        <f>F26*0.04/12</f>
        <v/>
      </c>
      <c r="J26" s="9">
        <f>IF(F26&gt;=$B$12,"★ 달성","")</f>
        <v/>
      </c>
    </row>
    <row r="27">
      <c r="A27" s="9" t="n">
        <v>11</v>
      </c>
      <c r="B27" s="10">
        <f>F26</f>
        <v/>
      </c>
      <c r="C27" s="11">
        <f>$B$7*12</f>
        <v/>
      </c>
      <c r="D27" s="11">
        <f>$B$9</f>
        <v/>
      </c>
      <c r="E27" s="11">
        <f>$B$10</f>
        <v/>
      </c>
      <c r="F27" s="6">
        <f>B27*(1+$B$11/100)+$B$7*(((1+$B$11/100/12)^12-1)/($B$11/100/12))+$B$9-$B$10</f>
        <v/>
      </c>
      <c r="G27" s="11">
        <f>G26+C27+D27-E27</f>
        <v/>
      </c>
      <c r="H27" s="11">
        <f>F27-G27</f>
        <v/>
      </c>
      <c r="I27" s="11">
        <f>F27*0.04/12</f>
        <v/>
      </c>
      <c r="J27" s="9">
        <f>IF(F27&gt;=$B$12,"★ 달성","")</f>
        <v/>
      </c>
    </row>
    <row r="28">
      <c r="A28" s="9" t="n">
        <v>12</v>
      </c>
      <c r="B28" s="10">
        <f>F27</f>
        <v/>
      </c>
      <c r="C28" s="11">
        <f>$B$7*12</f>
        <v/>
      </c>
      <c r="D28" s="11">
        <f>$B$9</f>
        <v/>
      </c>
      <c r="E28" s="11">
        <f>$B$10</f>
        <v/>
      </c>
      <c r="F28" s="6">
        <f>B28*(1+$B$11/100)+$B$7*(((1+$B$11/100/12)^12-1)/($B$11/100/12))+$B$9-$B$10</f>
        <v/>
      </c>
      <c r="G28" s="11">
        <f>G27+C28+D28-E28</f>
        <v/>
      </c>
      <c r="H28" s="11">
        <f>F28-G28</f>
        <v/>
      </c>
      <c r="I28" s="11">
        <f>F28*0.04/12</f>
        <v/>
      </c>
      <c r="J28" s="9">
        <f>IF(F28&gt;=$B$12,"★ 달성","")</f>
        <v/>
      </c>
    </row>
    <row r="29">
      <c r="A29" s="9" t="n">
        <v>13</v>
      </c>
      <c r="B29" s="10">
        <f>F28</f>
        <v/>
      </c>
      <c r="C29" s="11">
        <f>$B$7*12</f>
        <v/>
      </c>
      <c r="D29" s="11">
        <f>$B$9</f>
        <v/>
      </c>
      <c r="E29" s="11">
        <f>$B$10</f>
        <v/>
      </c>
      <c r="F29" s="6">
        <f>B29*(1+$B$11/100)+$B$7*(((1+$B$11/100/12)^12-1)/($B$11/100/12))+$B$9-$B$10</f>
        <v/>
      </c>
      <c r="G29" s="11">
        <f>G28+C29+D29-E29</f>
        <v/>
      </c>
      <c r="H29" s="11">
        <f>F29-G29</f>
        <v/>
      </c>
      <c r="I29" s="11">
        <f>F29*0.04/12</f>
        <v/>
      </c>
      <c r="J29" s="9">
        <f>IF(F29&gt;=$B$12,"★ 달성","")</f>
        <v/>
      </c>
    </row>
    <row r="30">
      <c r="A30" s="9" t="n">
        <v>14</v>
      </c>
      <c r="B30" s="10">
        <f>F29</f>
        <v/>
      </c>
      <c r="C30" s="11">
        <f>$B$7*12</f>
        <v/>
      </c>
      <c r="D30" s="11">
        <f>$B$9</f>
        <v/>
      </c>
      <c r="E30" s="11">
        <f>$B$10</f>
        <v/>
      </c>
      <c r="F30" s="6">
        <f>B30*(1+$B$11/100)+$B$7*(((1+$B$11/100/12)^12-1)/($B$11/100/12))+$B$9-$B$10</f>
        <v/>
      </c>
      <c r="G30" s="11">
        <f>G29+C30+D30-E30</f>
        <v/>
      </c>
      <c r="H30" s="11">
        <f>F30-G30</f>
        <v/>
      </c>
      <c r="I30" s="11">
        <f>F30*0.04/12</f>
        <v/>
      </c>
      <c r="J30" s="9">
        <f>IF(F30&gt;=$B$12,"★ 달성","")</f>
        <v/>
      </c>
    </row>
    <row r="31">
      <c r="A31" s="9" t="n">
        <v>15</v>
      </c>
      <c r="B31" s="10">
        <f>F30</f>
        <v/>
      </c>
      <c r="C31" s="11">
        <f>$B$7*12</f>
        <v/>
      </c>
      <c r="D31" s="11">
        <f>$B$9</f>
        <v/>
      </c>
      <c r="E31" s="11">
        <f>$B$10</f>
        <v/>
      </c>
      <c r="F31" s="6">
        <f>B31*(1+$B$11/100)+$B$7*(((1+$B$11/100/12)^12-1)/($B$11/100/12))+$B$9-$B$10</f>
        <v/>
      </c>
      <c r="G31" s="11">
        <f>G30+C31+D31-E31</f>
        <v/>
      </c>
      <c r="H31" s="11">
        <f>F31-G31</f>
        <v/>
      </c>
      <c r="I31" s="11">
        <f>F31*0.04/12</f>
        <v/>
      </c>
      <c r="J31" s="9">
        <f>IF(F31&gt;=$B$12,"★ 달성","")</f>
        <v/>
      </c>
    </row>
    <row r="32">
      <c r="A32" s="9" t="n">
        <v>16</v>
      </c>
      <c r="B32" s="10">
        <f>F31</f>
        <v/>
      </c>
      <c r="C32" s="11">
        <f>$B$7*12</f>
        <v/>
      </c>
      <c r="D32" s="11">
        <f>$B$9</f>
        <v/>
      </c>
      <c r="E32" s="11">
        <f>$B$10</f>
        <v/>
      </c>
      <c r="F32" s="6">
        <f>B32*(1+$B$11/100)+$B$7*(((1+$B$11/100/12)^12-1)/($B$11/100/12))+$B$9-$B$10</f>
        <v/>
      </c>
      <c r="G32" s="11">
        <f>G31+C32+D32-E32</f>
        <v/>
      </c>
      <c r="H32" s="11">
        <f>F32-G32</f>
        <v/>
      </c>
      <c r="I32" s="11">
        <f>F32*0.04/12</f>
        <v/>
      </c>
      <c r="J32" s="9">
        <f>IF(F32&gt;=$B$12,"★ 달성","")</f>
        <v/>
      </c>
    </row>
    <row r="33">
      <c r="A33" s="9" t="n">
        <v>17</v>
      </c>
      <c r="B33" s="10">
        <f>F32</f>
        <v/>
      </c>
      <c r="C33" s="11">
        <f>$B$7*12</f>
        <v/>
      </c>
      <c r="D33" s="11">
        <f>$B$9</f>
        <v/>
      </c>
      <c r="E33" s="11">
        <f>$B$10</f>
        <v/>
      </c>
      <c r="F33" s="6">
        <f>B33*(1+$B$11/100)+$B$7*(((1+$B$11/100/12)^12-1)/($B$11/100/12))+$B$9-$B$10</f>
        <v/>
      </c>
      <c r="G33" s="11">
        <f>G32+C33+D33-E33</f>
        <v/>
      </c>
      <c r="H33" s="11">
        <f>F33-G33</f>
        <v/>
      </c>
      <c r="I33" s="11">
        <f>F33*0.04/12</f>
        <v/>
      </c>
      <c r="J33" s="9">
        <f>IF(F33&gt;=$B$12,"★ 달성","")</f>
        <v/>
      </c>
    </row>
    <row r="34">
      <c r="A34" s="9" t="n">
        <v>18</v>
      </c>
      <c r="B34" s="10">
        <f>F33</f>
        <v/>
      </c>
      <c r="C34" s="11">
        <f>$B$7*12</f>
        <v/>
      </c>
      <c r="D34" s="11">
        <f>$B$9</f>
        <v/>
      </c>
      <c r="E34" s="11">
        <f>$B$10</f>
        <v/>
      </c>
      <c r="F34" s="6">
        <f>B34*(1+$B$11/100)+$B$7*(((1+$B$11/100/12)^12-1)/($B$11/100/12))+$B$9-$B$10</f>
        <v/>
      </c>
      <c r="G34" s="11">
        <f>G33+C34+D34-E34</f>
        <v/>
      </c>
      <c r="H34" s="11">
        <f>F34-G34</f>
        <v/>
      </c>
      <c r="I34" s="11">
        <f>F34*0.04/12</f>
        <v/>
      </c>
      <c r="J34" s="9">
        <f>IF(F34&gt;=$B$12,"★ 달성","")</f>
        <v/>
      </c>
    </row>
    <row r="35">
      <c r="A35" s="9" t="n">
        <v>19</v>
      </c>
      <c r="B35" s="10">
        <f>F34</f>
        <v/>
      </c>
      <c r="C35" s="11">
        <f>$B$7*12</f>
        <v/>
      </c>
      <c r="D35" s="11">
        <f>$B$9</f>
        <v/>
      </c>
      <c r="E35" s="11">
        <f>$B$10</f>
        <v/>
      </c>
      <c r="F35" s="6">
        <f>B35*(1+$B$11/100)+$B$7*(((1+$B$11/100/12)^12-1)/($B$11/100/12))+$B$9-$B$10</f>
        <v/>
      </c>
      <c r="G35" s="11">
        <f>G34+C35+D35-E35</f>
        <v/>
      </c>
      <c r="H35" s="11">
        <f>F35-G35</f>
        <v/>
      </c>
      <c r="I35" s="11">
        <f>F35*0.04/12</f>
        <v/>
      </c>
      <c r="J35" s="9">
        <f>IF(F35&gt;=$B$12,"★ 달성","")</f>
        <v/>
      </c>
    </row>
    <row r="36">
      <c r="A36" s="9" t="n">
        <v>20</v>
      </c>
      <c r="B36" s="10">
        <f>F35</f>
        <v/>
      </c>
      <c r="C36" s="11">
        <f>$B$7*12</f>
        <v/>
      </c>
      <c r="D36" s="11">
        <f>$B$9</f>
        <v/>
      </c>
      <c r="E36" s="11">
        <f>$B$10</f>
        <v/>
      </c>
      <c r="F36" s="6">
        <f>B36*(1+$B$11/100)+$B$7*(((1+$B$11/100/12)^12-1)/($B$11/100/12))+$B$9-$B$10</f>
        <v/>
      </c>
      <c r="G36" s="11">
        <f>G35+C36+D36-E36</f>
        <v/>
      </c>
      <c r="H36" s="11">
        <f>F36-G36</f>
        <v/>
      </c>
      <c r="I36" s="11">
        <f>F36*0.04/12</f>
        <v/>
      </c>
      <c r="J36" s="9">
        <f>IF(F36&gt;=$B$12,"★ 달성","")</f>
        <v/>
      </c>
    </row>
    <row r="37">
      <c r="A37" s="9" t="n">
        <v>21</v>
      </c>
      <c r="B37" s="10">
        <f>F36</f>
        <v/>
      </c>
      <c r="C37" s="11">
        <f>$B$7*12</f>
        <v/>
      </c>
      <c r="D37" s="11">
        <f>$B$9</f>
        <v/>
      </c>
      <c r="E37" s="11">
        <f>$B$10</f>
        <v/>
      </c>
      <c r="F37" s="6">
        <f>B37*(1+$B$11/100)+$B$7*(((1+$B$11/100/12)^12-1)/($B$11/100/12))+$B$9-$B$10</f>
        <v/>
      </c>
      <c r="G37" s="11">
        <f>G36+C37+D37-E37</f>
        <v/>
      </c>
      <c r="H37" s="11">
        <f>F37-G37</f>
        <v/>
      </c>
      <c r="I37" s="11">
        <f>F37*0.04/12</f>
        <v/>
      </c>
      <c r="J37" s="9">
        <f>IF(F37&gt;=$B$12,"★ 달성","")</f>
        <v/>
      </c>
    </row>
    <row r="38">
      <c r="A38" s="9" t="n">
        <v>22</v>
      </c>
      <c r="B38" s="10">
        <f>F37</f>
        <v/>
      </c>
      <c r="C38" s="11">
        <f>$B$7*12</f>
        <v/>
      </c>
      <c r="D38" s="11">
        <f>$B$9</f>
        <v/>
      </c>
      <c r="E38" s="11">
        <f>$B$10</f>
        <v/>
      </c>
      <c r="F38" s="6">
        <f>B38*(1+$B$11/100)+$B$7*(((1+$B$11/100/12)^12-1)/($B$11/100/12))+$B$9-$B$10</f>
        <v/>
      </c>
      <c r="G38" s="11">
        <f>G37+C38+D38-E38</f>
        <v/>
      </c>
      <c r="H38" s="11">
        <f>F38-G38</f>
        <v/>
      </c>
      <c r="I38" s="11">
        <f>F38*0.04/12</f>
        <v/>
      </c>
      <c r="J38" s="9">
        <f>IF(F38&gt;=$B$12,"★ 달성","")</f>
        <v/>
      </c>
    </row>
    <row r="39">
      <c r="A39" s="9" t="n">
        <v>23</v>
      </c>
      <c r="B39" s="10">
        <f>F38</f>
        <v/>
      </c>
      <c r="C39" s="11">
        <f>$B$7*12</f>
        <v/>
      </c>
      <c r="D39" s="11">
        <f>$B$9</f>
        <v/>
      </c>
      <c r="E39" s="11">
        <f>$B$10</f>
        <v/>
      </c>
      <c r="F39" s="6">
        <f>B39*(1+$B$11/100)+$B$7*(((1+$B$11/100/12)^12-1)/($B$11/100/12))+$B$9-$B$10</f>
        <v/>
      </c>
      <c r="G39" s="11">
        <f>G38+C39+D39-E39</f>
        <v/>
      </c>
      <c r="H39" s="11">
        <f>F39-G39</f>
        <v/>
      </c>
      <c r="I39" s="11">
        <f>F39*0.04/12</f>
        <v/>
      </c>
      <c r="J39" s="9">
        <f>IF(F39&gt;=$B$12,"★ 달성","")</f>
        <v/>
      </c>
    </row>
    <row r="40">
      <c r="A40" s="9" t="n">
        <v>24</v>
      </c>
      <c r="B40" s="10">
        <f>F39</f>
        <v/>
      </c>
      <c r="C40" s="11">
        <f>$B$7*12</f>
        <v/>
      </c>
      <c r="D40" s="11">
        <f>$B$9</f>
        <v/>
      </c>
      <c r="E40" s="11">
        <f>$B$10</f>
        <v/>
      </c>
      <c r="F40" s="6">
        <f>B40*(1+$B$11/100)+$B$7*(((1+$B$11/100/12)^12-1)/($B$11/100/12))+$B$9-$B$10</f>
        <v/>
      </c>
      <c r="G40" s="11">
        <f>G39+C40+D40-E40</f>
        <v/>
      </c>
      <c r="H40" s="11">
        <f>F40-G40</f>
        <v/>
      </c>
      <c r="I40" s="11">
        <f>F40*0.04/12</f>
        <v/>
      </c>
      <c r="J40" s="9">
        <f>IF(F40&gt;=$B$12,"★ 달성","")</f>
        <v/>
      </c>
    </row>
    <row r="41">
      <c r="A41" s="9" t="n">
        <v>25</v>
      </c>
      <c r="B41" s="10">
        <f>F40</f>
        <v/>
      </c>
      <c r="C41" s="11">
        <f>$B$7*12</f>
        <v/>
      </c>
      <c r="D41" s="11">
        <f>$B$9</f>
        <v/>
      </c>
      <c r="E41" s="11">
        <f>$B$10</f>
        <v/>
      </c>
      <c r="F41" s="6">
        <f>B41*(1+$B$11/100)+$B$7*(((1+$B$11/100/12)^12-1)/($B$11/100/12))+$B$9-$B$10</f>
        <v/>
      </c>
      <c r="G41" s="11">
        <f>G40+C41+D41-E41</f>
        <v/>
      </c>
      <c r="H41" s="11">
        <f>F41-G41</f>
        <v/>
      </c>
      <c r="I41" s="11">
        <f>F41*0.04/12</f>
        <v/>
      </c>
      <c r="J41" s="9">
        <f>IF(F41&gt;=$B$12,"★ 달성","")</f>
        <v/>
      </c>
    </row>
    <row r="42">
      <c r="A42" s="9" t="n">
        <v>26</v>
      </c>
      <c r="B42" s="10">
        <f>F41</f>
        <v/>
      </c>
      <c r="C42" s="11">
        <f>$B$7*12</f>
        <v/>
      </c>
      <c r="D42" s="11">
        <f>$B$9</f>
        <v/>
      </c>
      <c r="E42" s="11">
        <f>$B$10</f>
        <v/>
      </c>
      <c r="F42" s="6">
        <f>B42*(1+$B$11/100)+$B$7*(((1+$B$11/100/12)^12-1)/($B$11/100/12))+$B$9-$B$10</f>
        <v/>
      </c>
      <c r="G42" s="11">
        <f>G41+C42+D42-E42</f>
        <v/>
      </c>
      <c r="H42" s="11">
        <f>F42-G42</f>
        <v/>
      </c>
      <c r="I42" s="11">
        <f>F42*0.04/12</f>
        <v/>
      </c>
      <c r="J42" s="9">
        <f>IF(F42&gt;=$B$12,"★ 달성","")</f>
        <v/>
      </c>
    </row>
    <row r="43">
      <c r="A43" s="9" t="n">
        <v>27</v>
      </c>
      <c r="B43" s="10">
        <f>F42</f>
        <v/>
      </c>
      <c r="C43" s="11">
        <f>$B$7*12</f>
        <v/>
      </c>
      <c r="D43" s="11">
        <f>$B$9</f>
        <v/>
      </c>
      <c r="E43" s="11">
        <f>$B$10</f>
        <v/>
      </c>
      <c r="F43" s="6">
        <f>B43*(1+$B$11/100)+$B$7*(((1+$B$11/100/12)^12-1)/($B$11/100/12))+$B$9-$B$10</f>
        <v/>
      </c>
      <c r="G43" s="11">
        <f>G42+C43+D43-E43</f>
        <v/>
      </c>
      <c r="H43" s="11">
        <f>F43-G43</f>
        <v/>
      </c>
      <c r="I43" s="11">
        <f>F43*0.04/12</f>
        <v/>
      </c>
      <c r="J43" s="9">
        <f>IF(F43&gt;=$B$12,"★ 달성","")</f>
        <v/>
      </c>
    </row>
    <row r="44">
      <c r="A44" s="9" t="n">
        <v>28</v>
      </c>
      <c r="B44" s="10">
        <f>F43</f>
        <v/>
      </c>
      <c r="C44" s="11">
        <f>$B$7*12</f>
        <v/>
      </c>
      <c r="D44" s="11">
        <f>$B$9</f>
        <v/>
      </c>
      <c r="E44" s="11">
        <f>$B$10</f>
        <v/>
      </c>
      <c r="F44" s="6">
        <f>B44*(1+$B$11/100)+$B$7*(((1+$B$11/100/12)^12-1)/($B$11/100/12))+$B$9-$B$10</f>
        <v/>
      </c>
      <c r="G44" s="11">
        <f>G43+C44+D44-E44</f>
        <v/>
      </c>
      <c r="H44" s="11">
        <f>F44-G44</f>
        <v/>
      </c>
      <c r="I44" s="11">
        <f>F44*0.04/12</f>
        <v/>
      </c>
      <c r="J44" s="9">
        <f>IF(F44&gt;=$B$12,"★ 달성","")</f>
        <v/>
      </c>
    </row>
    <row r="45">
      <c r="A45" s="9" t="n">
        <v>29</v>
      </c>
      <c r="B45" s="10">
        <f>F44</f>
        <v/>
      </c>
      <c r="C45" s="11">
        <f>$B$7*12</f>
        <v/>
      </c>
      <c r="D45" s="11">
        <f>$B$9</f>
        <v/>
      </c>
      <c r="E45" s="11">
        <f>$B$10</f>
        <v/>
      </c>
      <c r="F45" s="6">
        <f>B45*(1+$B$11/100)+$B$7*(((1+$B$11/100/12)^12-1)/($B$11/100/12))+$B$9-$B$10</f>
        <v/>
      </c>
      <c r="G45" s="11">
        <f>G44+C45+D45-E45</f>
        <v/>
      </c>
      <c r="H45" s="11">
        <f>F45-G45</f>
        <v/>
      </c>
      <c r="I45" s="11">
        <f>F45*0.04/12</f>
        <v/>
      </c>
      <c r="J45" s="9">
        <f>IF(F45&gt;=$B$12,"★ 달성","")</f>
        <v/>
      </c>
    </row>
    <row r="46">
      <c r="A46" s="9" t="n">
        <v>30</v>
      </c>
      <c r="B46" s="10">
        <f>F45</f>
        <v/>
      </c>
      <c r="C46" s="11">
        <f>$B$7*12</f>
        <v/>
      </c>
      <c r="D46" s="11">
        <f>$B$9</f>
        <v/>
      </c>
      <c r="E46" s="11">
        <f>$B$10</f>
        <v/>
      </c>
      <c r="F46" s="6">
        <f>B46*(1+$B$11/100)+$B$7*(((1+$B$11/100/12)^12-1)/($B$11/100/12))+$B$9-$B$10</f>
        <v/>
      </c>
      <c r="G46" s="11">
        <f>G45+C46+D46-E46</f>
        <v/>
      </c>
      <c r="H46" s="11">
        <f>F46-G46</f>
        <v/>
      </c>
      <c r="I46" s="11">
        <f>F46*0.04/12</f>
        <v/>
      </c>
      <c r="J46" s="9">
        <f>IF(F46&gt;=$B$12,"★ 달성","")</f>
        <v/>
      </c>
    </row>
    <row r="48">
      <c r="A48" s="2" t="inlineStr">
        <is>
          <t>■ 배당 현금흐름 계산기 (목돈 투입 시)</t>
        </is>
      </c>
    </row>
    <row r="49">
      <c r="A49" s="3" t="inlineStr">
        <is>
          <t>투자 금액 (만원)</t>
        </is>
      </c>
      <c r="B49" s="4" t="n">
        <v>10000</v>
      </c>
    </row>
    <row r="51">
      <c r="A51" s="8" t="inlineStr">
        <is>
          <t>상품(배당률)</t>
        </is>
      </c>
      <c r="B51" s="8" t="inlineStr">
        <is>
          <t>배당률%</t>
        </is>
      </c>
      <c r="C51" s="8" t="inlineStr">
        <is>
          <t>연 배당</t>
        </is>
      </c>
      <c r="D51" s="8" t="inlineStr">
        <is>
          <t>월 배당</t>
        </is>
      </c>
      <c r="E51" s="8" t="inlineStr">
        <is>
          <t>세후 연(일반15.4%)</t>
        </is>
      </c>
      <c r="F51" s="8" t="inlineStr">
        <is>
          <t>세후 월</t>
        </is>
      </c>
    </row>
    <row r="52">
      <c r="A52" s="12" t="inlineStr">
        <is>
          <t>SCHD형 미국배당다우존스</t>
        </is>
      </c>
      <c r="B52" s="13" t="n">
        <v>3.5</v>
      </c>
      <c r="C52" s="11">
        <f>$B$49*B52/100</f>
        <v/>
      </c>
      <c r="D52" s="11">
        <f>C52/12</f>
        <v/>
      </c>
      <c r="E52" s="11">
        <f>C52*(1-0.154)</f>
        <v/>
      </c>
      <c r="F52" s="11">
        <f>E52/12</f>
        <v/>
      </c>
    </row>
    <row r="53">
      <c r="A53" s="12" t="inlineStr">
        <is>
          <t>고배당 Top30(1Q형)</t>
        </is>
      </c>
      <c r="B53" s="13" t="n">
        <v>4.5</v>
      </c>
      <c r="C53" s="11">
        <f>$B$49*B53/100</f>
        <v/>
      </c>
      <c r="D53" s="11">
        <f>C53/12</f>
        <v/>
      </c>
      <c r="E53" s="11">
        <f>C53*(1-0.154)</f>
        <v/>
      </c>
      <c r="F53" s="11">
        <f>E53/12</f>
        <v/>
      </c>
    </row>
    <row r="54">
      <c r="A54" s="12" t="inlineStr">
        <is>
          <t>나스닥커버드콜(JEPQ형)</t>
        </is>
      </c>
      <c r="B54" s="13" t="n">
        <v>10</v>
      </c>
      <c r="C54" s="11">
        <f>$B$49*B54/100</f>
        <v/>
      </c>
      <c r="D54" s="11">
        <f>C54/12</f>
        <v/>
      </c>
      <c r="E54" s="11">
        <f>C54*(1-0.154)</f>
        <v/>
      </c>
      <c r="F54" s="11">
        <f>E54/12</f>
        <v/>
      </c>
    </row>
    <row r="55">
      <c r="A55" s="12" t="inlineStr">
        <is>
          <t>S&amp;P500(저배당·참고)</t>
        </is>
      </c>
      <c r="B55" s="13" t="n">
        <v>1.3</v>
      </c>
      <c r="C55" s="11">
        <f>$B$49*B55/100</f>
        <v/>
      </c>
      <c r="D55" s="11">
        <f>C55/12</f>
        <v/>
      </c>
      <c r="E55" s="11">
        <f>C55*(1-0.154)</f>
        <v/>
      </c>
      <c r="F55" s="11">
        <f>E55/12</f>
        <v/>
      </c>
    </row>
    <row r="57">
      <c r="A57" s="3" t="inlineStr">
        <is>
          <t>※ 연금저축/IRP·ISA = 배당 과세이연/비과세(세전 수령에 가까움) · 일반계좌 = 배당 15.4% 즉시과세</t>
        </is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2026-06-01T12:18:17Z</dcterms:created>
  <dcterms:modified xsi:type="dcterms:W3CDTF">2026-06-01T12:18:17Z</dcterms:modified>
</cp:coreProperties>
</file>